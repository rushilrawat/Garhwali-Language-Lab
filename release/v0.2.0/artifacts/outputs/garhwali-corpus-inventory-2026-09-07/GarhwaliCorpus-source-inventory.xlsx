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b2cbc6e16144d4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ventory" sheetId="1" r:id="R6174696967014b4f"/>
    <x:sheet xmlns:r="http://schemas.openxmlformats.org/officeDocument/2006/relationships" name="Rights guide" sheetId="2" r:id="Ra27ba6e0921c4bfa"/>
    <x:sheet xmlns:r="http://schemas.openxmlformats.org/officeDocument/2006/relationships" name="Corpus schema" sheetId="3" r:id="R37f908b228dc483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11">
    <x:font>
      <x:sz val="11"/>
      <x:name val="Carlito"/>
    </x:font>
    <x:font>
      <x:b/>
      <x:sz val="14"/>
      <x:color rgb="FF111827"/>
      <x:name val="Arial"/>
    </x:font>
    <x:font>
      <x:i/>
      <x:sz val="10"/>
      <x:color rgb="FF4B5563"/>
      <x:name val="Arial"/>
    </x:font>
    <x:font>
      <x:sz val="10"/>
      <x:color rgb="FF334155"/>
      <x:name val="Arial"/>
    </x:font>
    <x:font>
      <x:b/>
      <x:sz val="13"/>
      <x:color rgb="FF0F172A"/>
      <x:name val="Arial"/>
    </x:font>
    <x:font>
      <x:i/>
      <x:sz val="10"/>
      <x:color rgb="FF9A3412"/>
      <x:name val="Arial"/>
    </x:font>
    <x:font>
      <x:b/>
      <x:sz val="10"/>
      <x:color rgb="FFFFFFFF"/>
      <x:name val="Arial"/>
    </x:font>
    <x:font>
      <x:sz val="9"/>
      <x:color rgb="FF111827"/>
      <x:name val="Arial"/>
    </x:font>
    <x:font>
      <x:sz val="9"/>
      <x:color rgb="FF1D4ED8"/>
      <x:name val="Arial"/>
    </x:font>
    <x:font>
      <x:sz val="10"/>
      <x:color rgb="FF111827"/>
      <x:name val="Arial"/>
    </x:font>
    <x:font>
      <x:sz val="10"/>
      <x:color rgb="FF1D4ED8"/>
      <x:name val="Arial"/>
    </x:font>
  </x:fonts>
  <x:fills count="6">
    <x:fill>
      <x:patternFill patternType="none"/>
    </x:fill>
    <x:fill>
      <x:patternFill patternType="gray125"/>
    </x:fill>
    <x:fill>
      <x:patternFill patternType="solid">
        <x:fgColor rgb="FFF8FAFC"/>
      </x:patternFill>
    </x:fill>
    <x:fill>
      <x:patternFill patternType="solid">
        <x:fgColor rgb="FF1E3A8A"/>
      </x:patternFill>
    </x:fill>
    <x:fill>
      <x:patternFill patternType="solid">
        <x:fgColor rgb="FF5B21B6"/>
      </x:patternFill>
    </x:fill>
    <x:fill>
      <x:patternFill patternType="solid">
        <x:fgColor rgb="FF0F766E"/>
      </x:patternFill>
    </x:fill>
  </x:fills>
  <x:borders count="12">
    <x:border/>
    <x:border>
      <x:bottom style="thin">
        <x:color rgb="FFCBD5E1"/>
      </x:bottom>
    </x:border>
    <x:border>
      <x:left style="thin">
        <x:color rgb="FFCBD5E1"/>
      </x:left>
      <x:top style="thin">
        <x:color rgb="FFCBD5E1"/>
      </x:top>
    </x:border>
    <x:border>
      <x:right style="thin">
        <x:color rgb="FFCBD5E1"/>
      </x:right>
      <x:top style="thin">
        <x:color rgb="FFCBD5E1"/>
      </x:top>
    </x:border>
    <x:border>
      <x:left style="thin">
        <x:color rgb="FFCBD5E1"/>
      </x:left>
      <x:bottom style="thin">
        <x:color rgb="FFCBD5E1"/>
      </x:bottom>
    </x:border>
    <x:border>
      <x:right style="thin">
        <x:color rgb="FFCBD5E1"/>
      </x:right>
      <x:bottom style="thin">
        <x:color rgb="FFCBD5E1"/>
      </x:bottom>
    </x:border>
    <x:border>
      <x:right style="thin">
        <x:color rgb="FFFFFFFF"/>
      </x:right>
      <x:bottom style="medium">
        <x:color rgb="FF1E3A8A"/>
      </x:bottom>
    </x:border>
    <x:border>
      <x:left style="thin">
        <x:color rgb="FFFFFFFF"/>
      </x:left>
      <x:right style="thin">
        <x:color rgb="FFFFFFFF"/>
      </x:right>
      <x:bottom style="medium">
        <x:color rgb="FF1E3A8A"/>
      </x:bottom>
    </x:border>
    <x:border>
      <x:left style="thin">
        <x:color rgb="FFFFFFFF"/>
      </x:left>
      <x:bottom style="medium">
        <x:color rgb="FF1E3A8A"/>
      </x:bottom>
    </x:border>
    <x:border>
      <x:right style="thin">
        <x:color rgb="FFFFFFFF"/>
      </x:right>
    </x:border>
    <x:border>
      <x:left style="thin">
        <x:color rgb="FFFFFFFF"/>
      </x:left>
      <x:right style="thin">
        <x:color rgb="FFFFFFFF"/>
      </x:right>
    </x:border>
    <x:border>
      <x:left style="thin">
        <x:color rgb="FFFFFFFF"/>
      </x:left>
    </x:border>
  </x:borders>
  <x:cellStyleXfs count="1">
    <x:xf numFmtId="0" fontId="0" fillId="0" borderId="0"/>
  </x:cellStyleXfs>
  <x:cellXfs count="72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2" xfId="0" applyNumberFormat="1" applyFont="1" applyFill="1" applyBorder="1"/>
    <x:xf numFmtId="0" fontId="3" fillId="2" borderId="3" xfId="0" applyNumberFormat="1" applyFont="1" applyFill="1" applyBorder="1"/>
    <x:xf numFmtId="0" fontId="3" fillId="2" borderId="4" xfId="0" applyNumberFormat="1" applyFont="1" applyFill="1" applyBorder="1"/>
    <x:xf numFmtId="0" fontId="3" fillId="2" borderId="5" xfId="0" applyNumberFormat="1" applyFont="1" applyFill="1" applyBorder="1"/>
    <x:xf numFmtId="0" fontId="3" fillId="2" borderId="2" xfId="0" applyNumberFormat="1" applyFont="1" applyFill="1" applyBorder="1" applyAlignment="1">
      <x:alignment vertical="center"/>
    </x:xf>
    <x:xf numFmtId="0" fontId="3" fillId="2" borderId="3" xfId="0" applyNumberFormat="1" applyFont="1" applyFill="1" applyBorder="1" applyAlignment="1">
      <x:alignment vertical="center"/>
    </x:xf>
    <x:xf numFmtId="0" fontId="3" fillId="2" borderId="4" xfId="0" applyNumberFormat="1" applyFont="1" applyFill="1" applyBorder="1" applyAlignment="1">
      <x:alignment vertical="center"/>
    </x:xf>
    <x:xf numFmtId="0" fontId="3" fillId="2" borderId="5" xfId="0" applyNumberFormat="1" applyFont="1" applyFill="1" applyBorder="1" applyAlignment="1">
      <x:alignment vertical="center"/>
    </x:xf>
    <x:xf numFmtId="0" fontId="4" fillId="2" borderId="4" xfId="0" applyNumberFormat="1" applyFont="1" applyFill="1" applyBorder="1" applyAlignment="1">
      <x:alignment vertical="center"/>
    </x:xf>
    <x:xf numFmtId="0" fontId="4" fillId="2" borderId="5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/>
    <x:xf numFmtId="0" fontId="5" fillId="0" borderId="0" xfId="0" applyNumberFormat="1" applyFont="1" applyFill="1" applyBorder="1"/>
    <x:xf numFmtId="0" fontId="0" fillId="3" borderId="0" xfId="0" applyNumberFormat="1" applyFont="1" applyFill="1" applyBorder="1"/>
    <x:xf numFmtId="0" fontId="6" fillId="3" borderId="0" xfId="0" applyNumberFormat="1" applyFont="1" applyFill="1" applyBorder="1"/>
    <x:xf numFmtId="0" fontId="6" fillId="3" borderId="6" xfId="0" applyNumberFormat="1" applyFont="1" applyFill="1" applyBorder="1"/>
    <x:xf numFmtId="0" fontId="6" fillId="3" borderId="7" xfId="0" applyNumberFormat="1" applyFont="1" applyFill="1" applyBorder="1"/>
    <x:xf numFmtId="0" fontId="6" fillId="3" borderId="8" xfId="0" applyNumberFormat="1" applyFont="1" applyFill="1" applyBorder="1"/>
    <x:xf numFmtId="0" fontId="6" fillId="3" borderId="6" xfId="0" applyNumberFormat="1" applyFont="1" applyFill="1" applyBorder="1" applyAlignment="1">
      <x:alignment wrapText="1"/>
    </x:xf>
    <x:xf numFmtId="0" fontId="6" fillId="3" borderId="7" xfId="0" applyNumberFormat="1" applyFont="1" applyFill="1" applyBorder="1" applyAlignment="1">
      <x:alignment wrapText="1"/>
    </x:xf>
    <x:xf numFmtId="0" fontId="6" fillId="3" borderId="8" xfId="0" applyNumberFormat="1" applyFont="1" applyFill="1" applyBorder="1" applyAlignment="1">
      <x:alignment wrapText="1"/>
    </x:xf>
    <x:xf numFmtId="0" fontId="6" fillId="3" borderId="6" xfId="0" applyNumberFormat="1" applyFont="1" applyFill="1" applyBorder="1" applyAlignment="1">
      <x:alignment horizontal="center" wrapText="1"/>
    </x:xf>
    <x:xf numFmtId="0" fontId="6" fillId="3" borderId="7" xfId="0" applyNumberFormat="1" applyFont="1" applyFill="1" applyBorder="1" applyAlignment="1">
      <x:alignment horizontal="center" wrapText="1"/>
    </x:xf>
    <x:xf numFmtId="0" fontId="6" fillId="3" borderId="8" xfId="0" applyNumberFormat="1" applyFont="1" applyFill="1" applyBorder="1" applyAlignment="1">
      <x:alignment horizontal="center" wrapText="1"/>
    </x:xf>
    <x:xf numFmtId="0" fontId="6" fillId="3" borderId="6" xfId="0" applyNumberFormat="1" applyFont="1" applyFill="1" applyBorder="1" applyAlignment="1">
      <x:alignment horizontal="center" vertical="center" wrapText="1"/>
    </x:xf>
    <x:xf numFmtId="0" fontId="6" fillId="3" borderId="7" xfId="0" applyNumberFormat="1" applyFont="1" applyFill="1" applyBorder="1" applyAlignment="1">
      <x:alignment horizontal="center" vertical="center" wrapText="1"/>
    </x:xf>
    <x:xf numFmtId="0" fontId="6" fillId="3" borderId="8" xfId="0" applyNumberFormat="1" applyFont="1" applyFill="1" applyBorder="1" applyAlignment="1">
      <x:alignment horizontal="center" vertical="center" wrapText="1"/>
    </x:xf>
    <x:xf numFmtId="0" fontId="7" fillId="0" borderId="0" xfId="0" applyNumberFormat="1" applyFont="1" applyFill="1" applyBorder="1"/>
    <x:xf numFmtId="0" fontId="7" fillId="0" borderId="0" xfId="0" applyNumberFormat="1" applyFont="1" applyFill="1" applyBorder="1" applyAlignment="1">
      <x:alignment wrapText="1"/>
    </x:xf>
    <x:xf numFmtId="0" fontId="7" fillId="0" borderId="0" xfId="0" applyNumberFormat="1" applyFont="1" applyFill="1" applyBorder="1" applyAlignment="1">
      <x:alignment vertical="top" wrapText="1"/>
    </x:xf>
    <x:xf numFmtId="0" fontId="7" fillId="0" borderId="0" xfId="0" applyNumberFormat="1" applyFont="1" applyFill="1" applyBorder="1" applyAlignment="1">
      <x:alignment horizontal="center" vertical="top" wrapText="1"/>
    </x:xf>
    <x:xf numFmtId="200" fontId="7" fillId="0" borderId="0" xfId="0" applyNumberFormat="1" applyFont="1" applyFill="1" applyBorder="1" applyAlignment="1">
      <x:alignment vertical="top" wrapText="1"/>
    </x:xf>
    <x:xf numFmtId="0" fontId="8" fillId="0" borderId="0" xfId="0" applyNumberFormat="1" applyFont="1" applyFill="1" applyBorder="1" applyAlignment="1">
      <x:alignment vertical="top" wrapText="1"/>
    </x:xf>
    <x:xf numFmtId="0" fontId="8" fillId="0" borderId="0" xfId="0" applyNumberFormat="1" applyFont="1" applyFill="1" applyBorder="1" applyAlignment="1">
      <x:alignment vertical="top" wrapText="0"/>
    </x:xf>
    <x:xf numFmtId="0" fontId="0" fillId="4" borderId="0" xfId="0" applyNumberFormat="1" applyFont="1" applyFill="1" applyBorder="1"/>
    <x:xf numFmtId="0" fontId="6" fillId="4" borderId="0" xfId="0" applyNumberFormat="1" applyFont="1" applyFill="1" applyBorder="1"/>
    <x:xf numFmtId="0" fontId="6" fillId="4" borderId="9" xfId="0" applyNumberFormat="1" applyFont="1" applyFill="1" applyBorder="1"/>
    <x:xf numFmtId="0" fontId="6" fillId="4" borderId="10" xfId="0" applyNumberFormat="1" applyFont="1" applyFill="1" applyBorder="1"/>
    <x:xf numFmtId="0" fontId="6" fillId="4" borderId="11" xfId="0" applyNumberFormat="1" applyFont="1" applyFill="1" applyBorder="1"/>
    <x:xf numFmtId="0" fontId="6" fillId="4" borderId="9" xfId="0" applyNumberFormat="1" applyFont="1" applyFill="1" applyBorder="1" applyAlignment="1">
      <x:alignment wrapText="1"/>
    </x:xf>
    <x:xf numFmtId="0" fontId="6" fillId="4" borderId="10" xfId="0" applyNumberFormat="1" applyFont="1" applyFill="1" applyBorder="1" applyAlignment="1">
      <x:alignment wrapText="1"/>
    </x:xf>
    <x:xf numFmtId="0" fontId="6" fillId="4" borderId="11" xfId="0" applyNumberFormat="1" applyFont="1" applyFill="1" applyBorder="1" applyAlignment="1">
      <x:alignment wrapText="1"/>
    </x:xf>
    <x:xf numFmtId="0" fontId="6" fillId="4" borderId="9" xfId="0" applyNumberFormat="1" applyFont="1" applyFill="1" applyBorder="1" applyAlignment="1">
      <x:alignment horizontal="center" wrapText="1"/>
    </x:xf>
    <x:xf numFmtId="0" fontId="6" fillId="4" borderId="10" xfId="0" applyNumberFormat="1" applyFont="1" applyFill="1" applyBorder="1" applyAlignment="1">
      <x:alignment horizontal="center" wrapText="1"/>
    </x:xf>
    <x:xf numFmtId="0" fontId="6" fillId="4" borderId="11" xfId="0" applyNumberFormat="1" applyFont="1" applyFill="1" applyBorder="1" applyAlignment="1">
      <x:alignment horizontal="center" wrapText="1"/>
    </x:xf>
    <x:xf numFmtId="0" fontId="6" fillId="4" borderId="9" xfId="0" applyNumberFormat="1" applyFont="1" applyFill="1" applyBorder="1" applyAlignment="1">
      <x:alignment horizontal="center" vertical="center" wrapText="1"/>
    </x:xf>
    <x:xf numFmtId="0" fontId="6" fillId="4" borderId="10" xfId="0" applyNumberFormat="1" applyFont="1" applyFill="1" applyBorder="1" applyAlignment="1">
      <x:alignment horizontal="center" vertical="center" wrapText="1"/>
    </x:xf>
    <x:xf numFmtId="0" fontId="6" fillId="4" borderId="11" xfId="0" applyNumberFormat="1" applyFont="1" applyFill="1" applyBorder="1" applyAlignment="1">
      <x:alignment horizontal="center" vertical="center" wrapText="1"/>
    </x:xf>
    <x:xf numFmtId="0" fontId="9" fillId="0" borderId="0" xfId="0" applyNumberFormat="1" applyFont="1" applyFill="1" applyBorder="1"/>
    <x:xf numFmtId="0" fontId="9" fillId="0" borderId="0" xfId="0" applyNumberFormat="1" applyFont="1" applyFill="1" applyBorder="1" applyAlignment="1">
      <x:alignment wrapText="1"/>
    </x:xf>
    <x:xf numFmtId="0" fontId="9" fillId="0" borderId="0" xfId="0" applyNumberFormat="1" applyFont="1" applyFill="1" applyBorder="1" applyAlignment="1">
      <x:alignment vertical="top" wrapText="1"/>
    </x:xf>
    <x:xf numFmtId="0" fontId="10" fillId="0" borderId="0" xfId="0" applyNumberFormat="1" applyFont="1" applyFill="1" applyBorder="1" applyAlignment="1">
      <x:alignment vertical="top" wrapText="1"/>
    </x:xf>
    <x:xf numFmtId="0" fontId="10" fillId="0" borderId="0" xfId="0" applyNumberFormat="1" applyFont="1" applyFill="1" applyBorder="1" applyAlignment="1">
      <x:alignment vertical="top" wrapText="0"/>
    </x:xf>
    <x:xf numFmtId="0" fontId="0" fillId="5" borderId="0" xfId="0" applyNumberFormat="1" applyFont="1" applyFill="1" applyBorder="1"/>
    <x:xf numFmtId="0" fontId="6" fillId="5" borderId="0" xfId="0" applyNumberFormat="1" applyFont="1" applyFill="1" applyBorder="1"/>
    <x:xf numFmtId="0" fontId="6" fillId="5" borderId="9" xfId="0" applyNumberFormat="1" applyFont="1" applyFill="1" applyBorder="1"/>
    <x:xf numFmtId="0" fontId="6" fillId="5" borderId="10" xfId="0" applyNumberFormat="1" applyFont="1" applyFill="1" applyBorder="1"/>
    <x:xf numFmtId="0" fontId="6" fillId="5" borderId="11" xfId="0" applyNumberFormat="1" applyFont="1" applyFill="1" applyBorder="1"/>
    <x:xf numFmtId="0" fontId="6" fillId="5" borderId="9" xfId="0" applyNumberFormat="1" applyFont="1" applyFill="1" applyBorder="1" applyAlignment="1">
      <x:alignment wrapText="1"/>
    </x:xf>
    <x:xf numFmtId="0" fontId="6" fillId="5" borderId="10" xfId="0" applyNumberFormat="1" applyFont="1" applyFill="1" applyBorder="1" applyAlignment="1">
      <x:alignment wrapText="1"/>
    </x:xf>
    <x:xf numFmtId="0" fontId="6" fillId="5" borderId="11" xfId="0" applyNumberFormat="1" applyFont="1" applyFill="1" applyBorder="1" applyAlignment="1">
      <x:alignment wrapText="1"/>
    </x:xf>
    <x:xf numFmtId="0" fontId="6" fillId="5" borderId="9" xfId="0" applyNumberFormat="1" applyFont="1" applyFill="1" applyBorder="1" applyAlignment="1">
      <x:alignment horizontal="center" wrapText="1"/>
    </x:xf>
    <x:xf numFmtId="0" fontId="6" fillId="5" borderId="10" xfId="0" applyNumberFormat="1" applyFont="1" applyFill="1" applyBorder="1" applyAlignment="1">
      <x:alignment horizontal="center" wrapText="1"/>
    </x:xf>
    <x:xf numFmtId="0" fontId="6" fillId="5" borderId="11" xfId="0" applyNumberFormat="1" applyFont="1" applyFill="1" applyBorder="1" applyAlignment="1">
      <x:alignment horizontal="center" wrapText="1"/>
    </x:xf>
    <x:xf numFmtId="0" fontId="6" fillId="5" borderId="9" xfId="0" applyNumberFormat="1" applyFont="1" applyFill="1" applyBorder="1" applyAlignment="1">
      <x:alignment horizontal="center" vertical="center" wrapText="1"/>
    </x:xf>
    <x:xf numFmtId="0" fontId="6" fillId="5" borderId="10" xfId="0" applyNumberFormat="1" applyFont="1" applyFill="1" applyBorder="1" applyAlignment="1">
      <x:alignment horizontal="center" vertical="center" wrapText="1"/>
    </x:xf>
    <x:xf numFmtId="0" fontId="6" fillId="5" borderId="11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  <x:dxfs count="6"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5B21B6"/>
      </x:font>
      <x:fill>
        <x:patternFill patternType="solid">
          <x:bgColor rgb="FFEDE9FE"/>
        </x:patternFill>
      </x:fill>
    </x:dxf>
    <x:dxf>
      <x:font>
        <x:b/>
        <x:color rgb="FF374151"/>
      </x:font>
      <x:fill>
        <x:patternFill patternType="solid">
          <x:bgColor rgb="FFE5E7EB"/>
        </x:patternFill>
      </x:fill>
    </x:dxf>
    <x:dxf>
      <x:font>
        <x:b/>
        <x:color rgb="FF1E40AF"/>
      </x:font>
      <x:fill>
        <x:patternFill patternType="solid">
          <x:bgColor rgb="FFDBEAFE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4c3a1358ae44ffd" /><Relationship Type="http://schemas.openxmlformats.org/officeDocument/2006/relationships/theme" Target="/xl/theme/theme1.xml" Id="Rdbb9af6fd6454c73" /><Relationship Type="http://schemas.openxmlformats.org/officeDocument/2006/relationships/sharedStrings" Target="/xl/sharedStrings.xml" Id="Rf84559c0aeee4858" /><Relationship Type="http://schemas.openxmlformats.org/officeDocument/2006/relationships/worksheet" Target="/xl/worksheets/sheet1.xml" Id="R6174696967014b4f" /><Relationship Type="http://schemas.openxmlformats.org/officeDocument/2006/relationships/worksheet" Target="/xl/worksheets/sheet2.xml" Id="Ra27ba6e0921c4bfa" /><Relationship Type="http://schemas.openxmlformats.org/officeDocument/2006/relationships/worksheet" Target="/xl/worksheets/sheet3.xml" Id="R37f908b228dc483d" /></Relationships>
</file>

<file path=xl/tables/table1.xml><?xml version="1.0" encoding="utf-8"?>
<x:table xmlns:x="http://schemas.openxmlformats.org/spreadsheetml/2006/main" id="1" name="GarhwaliSourceInventory" displayName="GarhwaliSourceInventory" ref="A8:Q31" headerRowCount="1" totalsRowCount="0" totalsRowShown="0">
  <x:autoFilter ref="A8:Q31"/>
  <x:tableColumns count="17">
    <x:tableColumn id="1" name="Priority"/>
    <x:tableColumn id="2" name="Source"/>
    <x:tableColumn id="3" name="Decision"/>
    <x:tableColumn id="4" name="Corpus layer"/>
    <x:tableColumn id="5" name="Source type"/>
    <x:tableColumn id="6" name="Verified Garhwali amount"/>
    <x:tableColumn id="7" name="Format / access"/>
    <x:tableColumn id="8" name="License / rights basis"/>
    <x:tableColumn id="9" name="Rights confidence"/>
    <x:tableColumn id="10" name="Dialect / coverage"/>
    <x:tableColumn id="11" name="Extraction difficulty"/>
    <x:tableColumn id="12" name="Quality / legal risk"/>
    <x:tableColumn id="13" name="Recommended next action"/>
    <x:tableColumn id="14" name="Source URL"/>
    <x:tableColumn id="15" name="Rights evidence URL"/>
    <x:tableColumn id="16" name="Evidence note"/>
    <x:tableColumn id="17" name="Verified date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RightsDecisionGuide" displayName="RightsDecisionGuide" ref="A5:F14" headerRowCount="1" totalsRowCount="0" totalsRowShown="0">
  <x:tableColumns count="6">
    <x:tableColumn id="1" name="Rights class"/>
    <x:tableColumn id="2" name="Redistribute?"/>
    <x:tableColumn id="3" name="Corpus treatment"/>
    <x:tableColumn id="4" name="Required controls"/>
    <x:tableColumn id="5" name="Primary failure mode"/>
    <x:tableColumn id="6" name="Authority / license URL"/>
  </x:tableColumns>
  <x:tableStyleInfo name="TableStyleMedium4" showFirstColumn="0" showLastColumn="0" showRowStripes="1" showColumnStripes="0"/>
</x:table>
</file>

<file path=xl/tables/table3.xml><?xml version="1.0" encoding="utf-8"?>
<x:table xmlns:x="http://schemas.openxmlformats.org/spreadsheetml/2006/main" id="3" name="CorpusProvenanceSchema" displayName="CorpusProvenanceSchema" ref="A5:F40" headerRowCount="1" totalsRowCount="0" totalsRowShown="0">
  <x:tableColumns count="6">
    <x:tableColumn id="1" name="Field"/>
    <x:tableColumn id="2" name="Type"/>
    <x:tableColumn id="3" name="Required"/>
    <x:tableColumn id="4" name="Purpose"/>
    <x:tableColumn id="5" name="Example / rule"/>
    <x:tableColumn id="6" name="Validation"/>
  </x:tableColumns>
  <x:tableStyleInfo name="TableStyleMedium9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da8127265cc141af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529c5e7c4ac941be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4762407c7d9c4a89" /></Relationships>
</file>

<file path=xl/worksheets/sheet1.xml><?xml version="1.0" encoding="utf-8"?>
<x:worksheet xmlns:x="http://schemas.openxmlformats.org/spreadsheetml/2006/main">
  <x:sheetPr>
    <x:tabColor rgb="FF1D4ED8"/>
  </x:sheetPr>
  <x:sheetViews>
    <x:sheetView showGridLines="0" workbookViewId="0">
      <x:pane xSplit="3" ySplit="8" topLeftCell="D9" activePane="bottomRight" state="frozen"/>
    </x:sheetView>
  </x:sheetViews>
  <x:sheetFormatPr defaultRowHeight="15"/>
  <x:cols>
    <x:col min="1" max="1" width="6.21999979019165" hidden="0" customWidth="1"/>
    <x:col min="2" max="2" width="21.110000610351562" hidden="0" customWidth="1"/>
    <x:col min="3" max="3" width="13.109999656677246" hidden="0" customWidth="1"/>
    <x:col min="4" max="4" width="12" hidden="0" customWidth="1"/>
    <x:col min="5" max="5" width="12.4399995803833" hidden="0" customWidth="1"/>
    <x:col min="6" max="6" width="20.559999465942383" hidden="0" customWidth="1"/>
    <x:col min="7" max="7" width="18.889999389648438" hidden="0" customWidth="1"/>
    <x:col min="8" max="8" width="19.440000534057617" hidden="0" customWidth="1"/>
    <x:col min="9" max="9" width="9.5600004196167" hidden="0" customWidth="1"/>
    <x:col min="10" max="10" width="16.670000076293945" hidden="0" customWidth="1"/>
    <x:col min="11" max="11" width="9.5600004196167" hidden="0" customWidth="1"/>
    <x:col min="12" max="12" width="23.329999923706055" hidden="0" customWidth="1"/>
    <x:col min="13" max="13" width="25.559999465942383" hidden="0" customWidth="1"/>
    <x:col min="14" max="14" width="18.329999923706055" hidden="0" customWidth="1"/>
    <x:col min="15" max="15" width="18.329999923706055" hidden="0" customWidth="1"/>
    <x:col min="16" max="16" width="22.780000686645508" hidden="0" customWidth="1"/>
    <x:col min="17" max="17" width="9.329999923706055" hidden="0" customWidth="1"/>
  </x:cols>
  <x:sheetData>
    <x:row r="1" ht="7.5" customHeight="1"/>
    <x:row r="2" ht="19.5" customHeight="1">
      <x:c r="A2" s="1" t="str">
        <x:v>GarhwaliCorpus source inventory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  <x:c r="P2" s="1"/>
      <x:c r="Q2" s="1"/>
    </x:row>
    <x:row r="3" ht="15" customHeight="1">
      <x:c r="A3" s="2" t="str">
        <x:v>Rights-first inventory for a publishable Garhwali corpus • Evidence verified 2026-09-07 • Core and license-constrained layers kept separate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</x:row>
    <x:row r="4">
      <x:c r="A4" s="3"/>
      <x:c r="B4" s="3"/>
      <x:c r="C4" s="3"/>
      <x:c r="D4" s="3"/>
      <x:c r="E4" s="3"/>
      <x:c r="F4" s="3"/>
      <x:c r="G4" s="3"/>
      <x:c r="H4" s="3"/>
      <x:c r="I4" s="3"/>
      <x:c r="J4" s="3"/>
      <x:c r="K4" s="3"/>
      <x:c r="L4" s="3"/>
      <x:c r="M4" s="3"/>
      <x:c r="N4" s="3"/>
      <x:c r="O4" s="3"/>
      <x:c r="P4" s="3"/>
      <x:c r="Q4" s="3"/>
    </x:row>
    <x:row r="5" ht="16.5" customHeight="1">
      <x:c r="A5" s="10" t="str">
        <x:v>Ingest now</x:v>
      </x:c>
      <x:c r="B5" s="11"/>
      <x:c r="C5"/>
      <x:c r="D5" s="10" t="str">
        <x:v>After review</x:v>
      </x:c>
      <x:c r="E5" s="11"/>
      <x:c r="F5"/>
      <x:c r="G5" s="10" t="str">
        <x:v>Permission needed</x:v>
      </x:c>
      <x:c r="H5" s="11"/>
      <x:c r="I5"/>
      <x:c r="J5" s="10" t="str">
        <x:v>Reference / excluded</x:v>
      </x:c>
      <x:c r="K5" s="11"/>
      <x:c r="L5"/>
      <x:c r="M5" s="10" t="str">
        <x:v>Collection channels</x:v>
      </x:c>
      <x:c r="N5" s="11"/>
    </x:row>
    <x:row r="6" ht="16.5" customHeight="1">
      <x:c r="A6" s="14" t="n">
        <x:f>COUNTIF($C$9:$C$31,"Ingest now")</x:f>
        <x:v>8</x:v>
      </x:c>
      <x:c r="B6" s="15"/>
      <x:c r="C6" s="16"/>
      <x:c r="D6" s="14" t="n">
        <x:f>COUNTIF($C$9:$C$31,"Ingest after review")</x:f>
        <x:v>4</x:v>
      </x:c>
      <x:c r="E6" s="15"/>
      <x:c r="F6" s="16"/>
      <x:c r="G6" s="14" t="n">
        <x:f>COUNTIF($C$9:$C$31,"Permission required")</x:f>
        <x:v>5</x:v>
      </x:c>
      <x:c r="H6" s="15"/>
      <x:c r="I6" s="16"/>
      <x:c r="J6" s="14" t="n">
        <x:f>COUNTIF($C$9:$C$31,"Reference only")+COUNTIF($C$9:$C$31,"Exclude duplicate")</x:f>
        <x:v>4</x:v>
      </x:c>
      <x:c r="K6" s="15"/>
      <x:c r="L6" s="16"/>
      <x:c r="M6" s="14" t="n">
        <x:f>COUNTIF($C$9:$C$31,"Collection channel")</x:f>
        <x:v>2</x:v>
      </x:c>
      <x:c r="N6" s="15"/>
    </x:row>
    <x:row r="7">
      <x:c r="A7" s="17" t="str">
        <x:v>Decision rule: no public-web text enters the rights-cleared core without a traceable license, public-domain memo, or written permission.</x:v>
      </x:c>
      <x:c r="B7" s="17"/>
      <x:c r="C7" s="17"/>
      <x:c r="D7" s="17"/>
      <x:c r="E7" s="17"/>
      <x:c r="F7" s="17"/>
      <x:c r="G7" s="17"/>
      <x:c r="H7" s="17"/>
      <x:c r="I7" s="17"/>
      <x:c r="J7" s="17"/>
      <x:c r="K7" s="17"/>
      <x:c r="L7" s="17"/>
      <x:c r="M7" s="17"/>
      <x:c r="N7" s="17"/>
      <x:c r="O7" s="17"/>
      <x:c r="P7" s="17"/>
      <x:c r="Q7" s="17"/>
    </x:row>
    <x:row r="8" ht="25.5" customHeight="1">
      <x:c r="A8" s="29" t="str">
        <x:v>Priority</x:v>
      </x:c>
      <x:c r="B8" s="30" t="str">
        <x:v>Source</x:v>
      </x:c>
      <x:c r="C8" s="30" t="str">
        <x:v>Decision</x:v>
      </x:c>
      <x:c r="D8" s="30" t="str">
        <x:v>Corpus layer</x:v>
      </x:c>
      <x:c r="E8" s="30" t="str">
        <x:v>Source type</x:v>
      </x:c>
      <x:c r="F8" s="30" t="str">
        <x:v>Verified Garhwali amount</x:v>
      </x:c>
      <x:c r="G8" s="30" t="str">
        <x:v>Format / access</x:v>
      </x:c>
      <x:c r="H8" s="30" t="str">
        <x:v>License / rights basis</x:v>
      </x:c>
      <x:c r="I8" s="30" t="str">
        <x:v>Rights confidence</x:v>
      </x:c>
      <x:c r="J8" s="30" t="str">
        <x:v>Dialect / coverage</x:v>
      </x:c>
      <x:c r="K8" s="30" t="str">
        <x:v>Extraction difficulty</x:v>
      </x:c>
      <x:c r="L8" s="30" t="str">
        <x:v>Quality / legal risk</x:v>
      </x:c>
      <x:c r="M8" s="30" t="str">
        <x:v>Recommended next action</x:v>
      </x:c>
      <x:c r="N8" s="30" t="str">
        <x:v>Source URL</x:v>
      </x:c>
      <x:c r="O8" s="30" t="str">
        <x:v>Rights evidence URL</x:v>
      </x:c>
      <x:c r="P8" s="30" t="str">
        <x:v>Evidence note</x:v>
      </x:c>
      <x:c r="Q8" s="31" t="str">
        <x:v>Verified date</x:v>
      </x:c>
    </x:row>
    <x:row r="9" ht="48" customHeight="1">
      <x:c r="A9" s="35" t="n">
        <x:v>1</x:v>
      </x:c>
      <x:c r="B9" s="34" t="str">
        <x:v>Meta Omnilingual ASR Corpus — gbm_Deva</x:v>
      </x:c>
      <x:c r="C9" s="34" t="str">
        <x:v>Ingest now</x:v>
      </x:c>
      <x:c r="D9" s="34" t="str">
        <x:v>Core-open</x:v>
      </x:c>
      <x:c r="E9" s="34" t="str">
        <x:v>Speech + transcript</x:v>
      </x:c>
      <x:c r="F9" s="34" t="str">
        <x:v>2,927 utterances: 2,329 train, 298 dev, 300 test</x:v>
      </x:c>
      <x:c r="G9" s="34" t="str">
        <x:v>Parquet; 16 kHz audio and transcripts via Hugging Face</x:v>
      </x:c>
      <x:c r="H9" s="34" t="str">
        <x:v>CC BY 4.0 stated by upstream publisher</x:v>
      </x:c>
      <x:c r="I9" s="35" t="str">
        <x:v>High</x:v>
      </x:c>
      <x:c r="J9" s="35" t="str">
        <x:v>Garhwali, Devanagari; spontaneous prompted speech</x:v>
      </x:c>
      <x:c r="K9" s="35" t="str">
        <x:v>Easy</x:v>
      </x:c>
      <x:c r="L9" s="34" t="str">
        <x:v>Prompt-driven domain; inspect speaker balance and code-switching</x:v>
      </x:c>
      <x:c r="M9" s="34" t="str">
        <x:v>Ingest from Meta's upstream config; preserve split, prompt, speaker and attribution metadata</x:v>
      </x:c>
      <x:c r="N9" s="38" t="str">
        <x:v>https://huggingface.co/datasets/facebook/omnilingual-asr-corpus</x:v>
      </x:c>
      <x:c r="O9" s="38" t="str">
        <x:v>https://creativecommons.org/licenses/by/4.0/</x:v>
      </x:c>
      <x:c r="P9" s="34" t="str">
        <x:v>Official upstream is preferable to community mirrors</x:v>
      </x:c>
      <x:c r="Q9" s="36" t="str">
        <x:v>2026-09-07</x:v>
      </x:c>
    </x:row>
    <x:row r="10" ht="48" customHeight="1">
      <x:c r="A10" s="35" t="n">
        <x:v>1</x:v>
      </x:c>
      <x:c r="B10" s="34" t="str">
        <x:v>Project Vaani — transcribed Garhwali subset</x:v>
      </x:c>
      <x:c r="C10" s="34" t="str">
        <x:v>Ingest now</x:v>
      </x:c>
      <x:c r="D10" s="34" t="str">
        <x:v>Core-open</x:v>
      </x:c>
      <x:c r="E10" s="34" t="str">
        <x:v>Speech + transcript</x:v>
      </x:c>
      <x:c r="F10" s="34" t="str">
        <x:v>8.80 hours of Garhwali transcription</x:v>
      </x:c>
      <x:c r="G10" s="34" t="str">
        <x:v>Hugging Face dataset; CC acceptance page may apply</x:v>
      </x:c>
      <x:c r="H10" s="34" t="str">
        <x:v>CC BY 4.0</x:v>
      </x:c>
      <x:c r="I10" s="35" t="str">
        <x:v>High</x:v>
      </x:c>
      <x:c r="J10" s="35" t="str">
        <x:v>Uttarakhand districts; language metadata supports filtering</x:v>
      </x:c>
      <x:c r="K10" s="35" t="str">
        <x:v>Medium</x:v>
      </x:c>
      <x:c r="L10" s="34" t="str">
        <x:v>Validate language labels, transcript conventions and district balance</x:v>
      </x:c>
      <x:c r="M10" s="34" t="str">
        <x:v>Download the transcription subset; keep district, speaker and audio provenance</x:v>
      </x:c>
      <x:c r="N10" s="38" t="str">
        <x:v>https://huggingface.co/datasets/ARTPARK-IISc/Vaani-transcription-part</x:v>
      </x:c>
      <x:c r="O10" s="38" t="str">
        <x:v>https://creativecommons.org/licenses/by/4.0/</x:v>
      </x:c>
      <x:c r="P10" s="34" t="str">
        <x:v>Official dataset card reports the Garhwali transcription duration</x:v>
      </x:c>
      <x:c r="Q10" s="36" t="str">
        <x:v>2026-09-07</x:v>
      </x:c>
    </x:row>
    <x:row r="11" ht="48" customHeight="1">
      <x:c r="A11" s="35" t="n">
        <x:v>1</x:v>
      </x:c>
      <x:c r="B11" s="34" t="str">
        <x:v>Project Vaani — full Garhwali recordings</x:v>
      </x:c>
      <x:c r="C11" s="34" t="str">
        <x:v>Ingest now</x:v>
      </x:c>
      <x:c r="D11" s="34" t="str">
        <x:v>Core-open</x:v>
      </x:c>
      <x:c r="E11" s="34" t="str">
        <x:v>Speech, partly transcribed</x:v>
      </x:c>
      <x:c r="F11" s="34" t="str">
        <x:v>136.80 recorded hours reported for Garhwali; only a subset is transcribed</x:v>
      </x:c>
      <x:c r="G11" s="34" t="str">
        <x:v>Gated Hugging Face dataset; district configurations include Tehri Garhwal and Uttarkashi</x:v>
      </x:c>
      <x:c r="H11" s="34" t="str">
        <x:v>CC BY 4.0</x:v>
      </x:c>
      <x:c r="I11" s="35" t="str">
        <x:v>High</x:v>
      </x:c>
      <x:c r="J11" s="35" t="str">
        <x:v>Multiple Uttarakhand districts; modern spoken Garhwali</x:v>
      </x:c>
      <x:c r="K11" s="35" t="str">
        <x:v>Medium</x:v>
      </x:c>
      <x:c r="L11" s="34" t="str">
        <x:v>Gated access; most audio may need transcription; audit consent metadata</x:v>
      </x:c>
      <x:c r="M11" s="34" t="str">
        <x:v>Accept access terms, filter by language metadata, and create a transcription backlog</x:v>
      </x:c>
      <x:c r="N11" s="38" t="str">
        <x:v>https://vaani.iisc.ac.in/</x:v>
      </x:c>
      <x:c r="O11" s="38" t="str">
        <x:v>https://creativecommons.org/licenses/by/4.0/</x:v>
      </x:c>
      <x:c r="P11" s="34" t="str">
        <x:v>Homepage reports Uttarakhand totals and Garhwali recorded hours</x:v>
      </x:c>
      <x:c r="Q11" s="36" t="str">
        <x:v>2026-09-07</x:v>
      </x:c>
    </x:row>
    <x:row r="12" ht="48" customHeight="1">
      <x:c r="A12" s="35" t="n">
        <x:v>1</x:v>
      </x:c>
      <x:c r="B12" s="34" t="str">
        <x:v>Linguistic Survey of India, Vol. 9 Part 4</x:v>
      </x:c>
      <x:c r="C12" s="34" t="str">
        <x:v>Ingest now</x:v>
      </x:c>
      <x:c r="D12" s="34" t="str">
        <x:v>Core-PD historical</x:v>
      </x:c>
      <x:c r="E12" s="34" t="str">
        <x:v>Grammar, lexicon, specimens</x:v>
      </x:c>
      <x:c r="F12" s="34" t="str">
        <x:v>About 74 Garhwali-section pages beginning around page 279</x:v>
      </x:c>
      <x:c r="G12" s="34" t="str">
        <x:v>DJVU/PDF scan with OCR options on Wikimedia Commons</x:v>
      </x:c>
      <x:c r="H12" s="34" t="str">
        <x:v>Public domain scan; 1916 publication</x:v>
      </x:c>
      <x:c r="I12" s="35" t="str">
        <x:v>High</x:v>
      </x:c>
      <x:c r="J12" s="35" t="str">
        <x:v>Historical Garhwali with named regional varieties such as Tehri/Garkapariya</x:v>
      </x:c>
      <x:c r="K12" s="35" t="str">
        <x:v>High</x:v>
      </x:c>
      <x:c r="L12" s="34" t="str">
        <x:v>Old orthography, transliteration, OCR noise and dated labels</x:v>
      </x:c>
      <x:c r="M12" s="34" t="str">
        <x:v>Extract page-by-page; preserve scan page, printed page, transliteration and historical flag</x:v>
      </x:c>
      <x:c r="N12" s="38" t="str">
        <x:v>https://commons.wikimedia.org/wiki/File:Linguistic_Survey_of_India_Vol_9_Part_4.djvu</x:v>
      </x:c>
      <x:c r="O12" s="38" t="str">
        <x:v>https://commons.wikimedia.org/wiki/File:Linguistic_Survey_of_India_Vol_9_Part_4.djvu</x:v>
      </x:c>
      <x:c r="P12" s="34" t="str">
        <x:v>Commons marks the scan free of known copyright restrictions</x:v>
      </x:c>
      <x:c r="Q12" s="36" t="str">
        <x:v>2026-09-07</x:v>
      </x:c>
    </x:row>
    <x:row r="13" ht="48" customHeight="1">
      <x:c r="A13" s="35" t="n">
        <x:v>1</x:v>
      </x:c>
      <x:c r="B13" s="34" t="str">
        <x:v>ASJP Garhwali word list</x:v>
      </x:c>
      <x:c r="C13" s="34" t="str">
        <x:v>Ingest now</x:v>
      </x:c>
      <x:c r="D13" s="34" t="str">
        <x:v>Core-open lexicon</x:v>
      </x:c>
      <x:c r="E13" s="34" t="str">
        <x:v>Basic lexicon</x:v>
      </x:c>
      <x:c r="F13" s="34" t="str">
        <x:v>91 extracted concept records</x:v>
      </x:c>
      <x:c r="G13" s="34" t="str">
        <x:v>JSON, RDF and ASJP text download</x:v>
      </x:c>
      <x:c r="H13" s="34" t="str">
        <x:v>CC BY 4.0</x:v>
      </x:c>
      <x:c r="I13" s="35" t="str">
        <x:v>High</x:v>
      </x:c>
      <x:c r="J13" s="35" t="str">
        <x:v>Garhwali / ISO 639-3 gbm</x:v>
      </x:c>
      <x:c r="K13" s="35" t="str">
        <x:v>Easy</x:v>
      </x:c>
      <x:c r="L13" s="34" t="str">
        <x:v>Tiny; romanized coding requires mapping to preferred script conventions</x:v>
      </x:c>
      <x:c r="M13" s="34" t="str">
        <x:v>Ingest with original ASJP form, concept ID, source citation and a separate normalized form</x:v>
      </x:c>
      <x:c r="N13" s="38" t="str">
        <x:v>https://asjp.clld.org/languages/GARHWALI</x:v>
      </x:c>
      <x:c r="O13" s="38" t="str">
        <x:v>https://creativecommons.org/licenses/by/4.0/</x:v>
      </x:c>
      <x:c r="P13" s="34" t="str">
        <x:v>Current ASJP text export yielded 91 records; compiled by Viktoria Smirnova from Kogan 2017</x:v>
      </x:c>
      <x:c r="Q13" s="36" t="str">
        <x:v>2026-09-07</x:v>
      </x:c>
    </x:row>
    <x:row r="14" ht="48" customHeight="1">
      <x:c r="A14" s="35" t="n">
        <x:v>2</x:v>
      </x:c>
      <x:c r="B14" s="34" t="str">
        <x:v>Wikimedia Incubator — Garhwali Wikipedia test</x:v>
      </x:c>
      <x:c r="C14" s="34" t="str">
        <x:v>Ingest now</x:v>
      </x:c>
      <x:c r="D14" s="34" t="str">
        <x:v>Extended-SA</x:v>
      </x:c>
      <x:c r="E14" s="34" t="str">
        <x:v>Encyclopedic text</x:v>
      </x:c>
      <x:c r="F14" s="34" t="str">
        <x:v>35 substantive records from 37 discovered pages; 25,473 raw wikitext characters and about 3,402 whitespace words</x:v>
      </x:c>
      <x:c r="G14" s="34" t="str">
        <x:v>MediaWiki API / XML dump workflow</x:v>
      </x:c>
      <x:c r="H14" s="34" t="str">
        <x:v>CC BY-SA 4.0 plus GFDL</x:v>
      </x:c>
      <x:c r="I14" s="35" t="str">
        <x:v>High</x:v>
      </x:c>
      <x:c r="J14" s="35" t="str">
        <x:v>Mixed modern written Garhwali; likely contributor and translation variation</x:v>
      </x:c>
      <x:c r="K14" s="35" t="str">
        <x:v>Medium</x:v>
      </x:c>
      <x:c r="L14" s="34" t="str">
        <x:v>Templates, navigation, Hindi leakage, short stubs and translated duplicates</x:v>
      </x:c>
      <x:c r="M14" s="34" t="str">
        <x:v>Extract revisions and attribution; strip templates; native-review language purity; keep in share-alike layer</x:v>
      </x:c>
      <x:c r="N14" s="38" t="str">
        <x:v>https://incubator.wikimedia.org/wiki/Wp/gbm</x:v>
      </x:c>
      <x:c r="O14" s="38" t="str">
        <x:v>https://creativecommons.org/licenses/by-sa/4.0/</x:v>
      </x:c>
      <x:c r="P14" s="34" t="str">
        <x:v>Current importer excludes empty pages and redirects; counts reproduced through the public MediaWiki API</x:v>
      </x:c>
      <x:c r="Q14" s="36" t="str">
        <x:v>2026-09-07</x:v>
      </x:c>
    </x:row>
    <x:row r="15" ht="48" customHeight="1">
      <x:c r="A15" s="35" t="n">
        <x:v>2</x:v>
      </x:c>
      <x:c r="B15" s="34" t="str">
        <x:v>English Wiktionary — Garhwali entries and Swadesh appendix</x:v>
      </x:c>
      <x:c r="C15" s="34" t="str">
        <x:v>Ingest now</x:v>
      </x:c>
      <x:c r="D15" s="34" t="str">
        <x:v>Extended-SA lexicon</x:v>
      </x:c>
      <x:c r="E15" s="34" t="str">
        <x:v>Dictionary / concept list</x:v>
      </x:c>
      <x:c r="F15" s="34" t="str">
        <x:v>54 Garhwali lemma pages plus 94 filled Swadesh concepts</x:v>
      </x:c>
      <x:c r="G15" s="34" t="str">
        <x:v>MediaWiki pages and API</x:v>
      </x:c>
      <x:c r="H15" s="34" t="str">
        <x:v>CC BY-SA 4.0 plus GFDL</x:v>
      </x:c>
      <x:c r="I15" s="35" t="str">
        <x:v>High</x:v>
      </x:c>
      <x:c r="J15" s="35" t="str">
        <x:v>Garhwali lemmas; dialect labeling varies by contributor</x:v>
      </x:c>
      <x:c r="K15" s="35" t="str">
        <x:v>Medium</x:v>
      </x:c>
      <x:c r="L15" s="34" t="str">
        <x:v>Overlap with ASJP; entry structure and transliteration are inconsistent</x:v>
      </x:c>
      <x:c r="M15" s="34" t="str">
        <x:v>Extract lemma, sense, transliteration and concept; deduplicate against ASJP; retain revision attribution</x:v>
      </x:c>
      <x:c r="N15" s="38" t="str">
        <x:v>https://en.wiktionary.org/wiki/Category:Garhwali_language</x:v>
      </x:c>
      <x:c r="O15" s="38" t="str">
        <x:v>https://creativecommons.org/licenses/by-sa/4.0/</x:v>
      </x:c>
      <x:c r="P15" s="34" t="str">
        <x:v>Swadesh appendix is a second, partially overlapping source within Wiktionary</x:v>
      </x:c>
      <x:c r="Q15" s="36" t="str">
        <x:v>2026-09-07</x:v>
      </x:c>
    </x:row>
    <x:row r="16" ht="48" customHeight="1">
      <x:c r="A16" s="35" t="n">
        <x:v>3</x:v>
      </x:c>
      <x:c r="B16" s="34" t="str">
        <x:v>Wikimedia Incubator — Garhwali Wiktionary test</x:v>
      </x:c>
      <x:c r="C16" s="34" t="str">
        <x:v>Ingest now</x:v>
      </x:c>
      <x:c r="D16" s="34" t="str">
        <x:v>Extended-SA lexicon</x:v>
      </x:c>
      <x:c r="E16" s="34" t="str">
        <x:v>Dictionary test wiki</x:v>
      </x:c>
      <x:c r="F16" s="34" t="str">
        <x:v>4 prefixed pages; about 1,824 raw characters / 217 whitespace words</x:v>
      </x:c>
      <x:c r="G16" s="34" t="str">
        <x:v>MediaWiki API</x:v>
      </x:c>
      <x:c r="H16" s="34" t="str">
        <x:v>CC BY-SA 4.0 plus GFDL</x:v>
      </x:c>
      <x:c r="I16" s="35" t="str">
        <x:v>High</x:v>
      </x:c>
      <x:c r="J16" s="35" t="str">
        <x:v>Garhwali test project</x:v>
      </x:c>
      <x:c r="K16" s="35" t="str">
        <x:v>Easy</x:v>
      </x:c>
      <x:c r="L16" s="34" t="str">
        <x:v>Mostly scaffolding; minimal lexical yield</x:v>
      </x:c>
      <x:c r="M16" s="34" t="str">
        <x:v>Ingest only substantive entries after excluding interface and navigation content</x:v>
      </x:c>
      <x:c r="N16" s="38" t="str">
        <x:v>https://incubator.wikimedia.org/wiki/Wt/gbm/Main_Page</x:v>
      </x:c>
      <x:c r="O16" s="38" t="str">
        <x:v>https://creativecommons.org/licenses/by-sa/4.0/</x:v>
      </x:c>
      <x:c r="P16" s="34" t="str">
        <x:v>Useful mainly for completeness and contributor discovery</x:v>
      </x:c>
      <x:c r="Q16" s="36" t="str">
        <x:v>2026-09-07</x:v>
      </x:c>
    </x:row>
    <x:row r="17" ht="48" customHeight="1">
      <x:c r="A17" s="35" t="n">
        <x:v>3</x:v>
      </x:c>
      <x:c r="B17" s="34" t="str">
        <x:v>Tatoeba — gbm export</x:v>
      </x:c>
      <x:c r="C17" s="34" t="str">
        <x:v>Ingest after review</x:v>
      </x:c>
      <x:c r="D17" s="34" t="str">
        <x:v>Extended-attribution</x:v>
      </x:c>
      <x:c r="E17" s="34" t="str">
        <x:v>Sentences / parallel links</x:v>
      </x:c>
      <x:c r="F17" s="34" t="str">
        <x:v>36 Garhwali sentences in the detailed export</x:v>
      </x:c>
      <x:c r="G17" s="34" t="str">
        <x:v>TSV exports; sentence and link files</x:v>
      </x:c>
      <x:c r="H17" s="34" t="str">
        <x:v>CC BY 2.0 FR for contributed sentence text</x:v>
      </x:c>
      <x:c r="I17" s="35" t="str">
        <x:v>High</x:v>
      </x:c>
      <x:c r="J17" s="35" t="str">
        <x:v>Unspecified; contributor-level variation</x:v>
      </x:c>
      <x:c r="K17" s="35" t="str">
        <x:v>Easy</x:v>
      </x:c>
      <x:c r="L17" s="34" t="str">
        <x:v>Very small; examples appear unadopted and need native validation</x:v>
      </x:c>
      <x:c r="M17" s="34" t="str">
        <x:v>Quarantine first; native-review every sentence; retain sentence/contributor/license attribution and English links</x:v>
      </x:c>
      <x:c r="N17" s="38" t="str">
        <x:v>https://downloads.tatoeba.org/exports/per_language/gbm/</x:v>
      </x:c>
      <x:c r="O17" s="38" t="str">
        <x:v>https://creativecommons.org/licenses/by/2.0/fr/</x:v>
      </x:c>
      <x:c r="P17" s="34" t="str">
        <x:v>Exact count reproduced from the detailed per-language export</x:v>
      </x:c>
      <x:c r="Q17" s="36" t="str">
        <x:v>2026-09-07</x:v>
      </x:c>
    </x:row>
    <x:row r="18" ht="48" customHeight="1">
      <x:c r="A18" s="35" t="n">
        <x:v>1</x:v>
      </x:c>
      <x:c r="B18" s="34" t="str">
        <x:v>Proverbs &amp; Folklore of Kumaun and Garhwal (1894)</x:v>
      </x:c>
      <x:c r="C18" s="34" t="str">
        <x:v>Ingest after review</x:v>
      </x:c>
      <x:c r="D18" s="34" t="str">
        <x:v>Candidate PD</x:v>
      </x:c>
      <x:c r="E18" s="34" t="str">
        <x:v>Proverbs, translations, notes</x:v>
      </x:c>
      <x:c r="F18" s="34" t="str">
        <x:v>About 1,500 mixed Kumauni/Garhwali proverbs in 413 scanned pages; Garhwali share not yet isolated</x:v>
      </x:c>
      <x:c r="G18" s="34" t="str">
        <x:v>Internet Archive / Open Library / Google Books scan and OCR</x:v>
      </x:c>
      <x:c r="H18" s="34" t="str">
        <x:v>Pre-1931 publication is public domain in the US; India status needs author-death confirmation</x:v>
      </x:c>
      <x:c r="I18" s="35" t="str">
        <x:v>Medium</x:v>
      </x:c>
      <x:c r="J18" s="35" t="str">
        <x:v>Mixed Kumauni and Garhwali; historical varieties</x:v>
      </x:c>
      <x:c r="K18" s="35" t="str">
        <x:v>High</x:v>
      </x:c>
      <x:c r="L18" s="34" t="str">
        <x:v>Language separation, OCR, historic spelling and jurisdiction memo needed</x:v>
      </x:c>
      <x:c r="M18" s="34" t="str">
        <x:v>Locate author death evidence; then segment by language and verify Devanagari against page images</x:v>
      </x:c>
      <x:c r="N18" s="38" t="str">
        <x:v>https://openlibrary.org/books/OL24188813M/Proverbs_folklore_of_Kumaun_and_Garhwal</x:v>
      </x:c>
      <x:c r="O18" s="38" t="str">
        <x:v>https://copyright.gov.in/Copyright_Act_1957/chapter_v.html</x:v>
      </x:c>
      <x:c r="P18" s="34" t="str">
        <x:v>Use the 1894 scan, not a modern reprint</x:v>
      </x:c>
      <x:c r="Q18" s="36" t="str">
        <x:v>2026-09-07</x:v>
      </x:c>
    </x:row>
    <x:row r="19" ht="48" customHeight="1">
      <x:c r="A19" s="35" t="n">
        <x:v>2</x:v>
      </x:c>
      <x:c r="B19" s="34" t="str">
        <x:v>Sadei by Tara Dutt Gairola</x:v>
      </x:c>
      <x:c r="C19" s="34" t="str">
        <x:v>Ingest after review</x:v>
      </x:c>
      <x:c r="D19" s="34" t="str">
        <x:v>Candidate PD</x:v>
      </x:c>
      <x:c r="E19" s="34" t="str">
        <x:v>Long narrative poem / folklore</x:v>
      </x:c>
      <x:c r="F19" s="34" t="str">
        <x:v>One book-length Garhwali poem; reliable full scan not located in this search</x:v>
      </x:c>
      <x:c r="G19" s="34" t="str">
        <x:v>Archive or physical-copy digitization needed</x:v>
      </x:c>
      <x:c r="H19" s="34" t="str">
        <x:v>Author died 1940; public domain in India from 2001; pre-1931 publication would also be PD-US</x:v>
      </x:c>
      <x:c r="I19" s="35" t="str">
        <x:v>Medium</x:v>
      </x:c>
      <x:c r="J19" s="35" t="str">
        <x:v>Historical literary Garhwali</x:v>
      </x:c>
      <x:c r="K19" s="35" t="str">
        <x:v>High</x:v>
      </x:c>
      <x:c r="L19" s="34" t="str">
        <x:v>No verified source scan; blog transcriptions may carry site-specific rights or errors</x:v>
      </x:c>
      <x:c r="M19" s="34" t="str">
        <x:v>Locate a dated scan or physical copy, verify edition, then OCR and double-key the poem</x:v>
      </x:c>
      <x:c r="N19" s="38" t="str">
        <x:v>https://e-magazineofuttarakhand.blogspot.com/2013/06/sadei-poetic-folktale-about-unique.html</x:v>
      </x:c>
      <x:c r="O19" s="38" t="str">
        <x:v>https://copyright.gov.in/Copyright_Act_1957/chapter_v.html</x:v>
      </x:c>
      <x:c r="P19" s="34" t="str">
        <x:v>The linked page is a discovery lead, not the text source to ingest</x:v>
      </x:c>
      <x:c r="Q19" s="36" t="str">
        <x:v>2026-09-07</x:v>
      </x:c>
    </x:row>
    <x:row r="20" ht="48" customHeight="1">
      <x:c r="A20" s="35" t="n">
        <x:v>2</x:v>
      </x:c>
      <x:c r="B20" s="34" t="str">
        <x:v>Garhwali Kavitavali, edited by Tara Dutt Gairola</x:v>
      </x:c>
      <x:c r="C20" s="34" t="str">
        <x:v>Ingest after review</x:v>
      </x:c>
      <x:c r="D20" s="34" t="str">
        <x:v>Rights audit</x:v>
      </x:c>
      <x:c r="E20" s="34" t="str">
        <x:v>Poetry anthology</x:v>
      </x:c>
      <x:c r="F20" s="34" t="str">
        <x:v>Early anthology; exact edition and digitized page count not verified</x:v>
      </x:c>
      <x:c r="G20" s="34" t="str">
        <x:v>Archive / library search required</x:v>
      </x:c>
      <x:c r="H20" s="34" t="str">
        <x:v>Per-poem author and publication-date audit required</x:v>
      </x:c>
      <x:c r="I20" s="35" t="str">
        <x:v>Low</x:v>
      </x:c>
      <x:c r="J20" s="35" t="str">
        <x:v>Multiple early Garhwali poets and literary registers</x:v>
      </x:c>
      <x:c r="K20" s="35" t="str">
        <x:v>High</x:v>
      </x:c>
      <x:c r="L20" s="34" t="str">
        <x:v>Editor death does not clear copyright in every contributor's poem</x:v>
      </x:c>
      <x:c r="M20" s="34" t="str">
        <x:v>Build a contents-level author/date ledger before digitizing any poem</x:v>
      </x:c>
      <x:c r="N20" s="38" t="str">
        <x:v>https://en.wikipedia.org/wiki/Taradutt_Gairola</x:v>
      </x:c>
      <x:c r="O20" s="38" t="str">
        <x:v>https://copyright.gov.in/Copyright_Act_1957/chapter_v.html</x:v>
      </x:c>
      <x:c r="P20" s="34" t="str">
        <x:v>Bibliographic lead only; replace with catalog and scan evidence when located</x:v>
      </x:c>
      <x:c r="Q20" s="36" t="str">
        <x:v>2026-09-07</x:v>
      </x:c>
    </x:row>
    <x:row r="21" ht="48" customHeight="1">
      <x:c r="A21" s="35" t="n">
        <x:v>3</x:v>
      </x:c>
      <x:c r="B21" s="34" t="str">
        <x:v>Himalayan Folklore (1935)</x:v>
      </x:c>
      <x:c r="C21" s="34" t="str">
        <x:v>Reference only</x:v>
      </x:c>
      <x:c r="D21" s="34" t="str">
        <x:v>Metadata / rights hold</x:v>
      </x:c>
      <x:c r="E21" s="34" t="str">
        <x:v>English translations of oral ballads</x:v>
      </x:c>
      <x:c r="F21" s="34" t="str">
        <x:v>Full 1935 book; Garhwali source-language yield appears limited</x:v>
      </x:c>
      <x:c r="G21" s="34" t="str">
        <x:v>Internet Archive / Indian Culture links through UttarakhandHub</x:v>
      </x:c>
      <x:c r="H21" s="34" t="str">
        <x:v>Public domain in India; likely US copyright through 2031 under URAA</x:v>
      </x:c>
      <x:c r="I21" s="35" t="str">
        <x:v>Medium</x:v>
      </x:c>
      <x:c r="J21" s="35" t="str">
        <x:v>Kumaon, Garhwal and West Nepal; mostly English rendering</x:v>
      </x:c>
      <x:c r="K21" s="35" t="str">
        <x:v>Medium</x:v>
      </x:c>
      <x:c r="L21" s="34" t="str">
        <x:v>Global redistribution risk; not a large Garhwali text source</x:v>
      </x:c>
      <x:c r="M21" s="34" t="str">
        <x:v>Use as cultural metadata and source-finding aid; do not redistribute the full text globally before rights clear</x:v>
      </x:c>
      <x:c r="N21" s="38" t="str">
        <x:v>https://uttarakhandhub.com/library/himalayan-folklore</x:v>
      </x:c>
      <x:c r="O21" s="38" t="str">
        <x:v>https://copyright.gov.in/Copyright_Act_1957/chapter_v.html</x:v>
      </x:c>
      <x:c r="P21" s="34" t="str">
        <x:v>A jurisdiction-specific rights exception, not a core Garhwali corpus source</x:v>
      </x:c>
      <x:c r="Q21" s="36" t="str">
        <x:v>2026-09-07</x:v>
      </x:c>
    </x:row>
    <x:row r="22" ht="48" customHeight="1">
      <x:c r="A22" s="35" t="n">
        <x:v>1</x:v>
      </x:c>
      <x:c r="B22" s="34" t="str">
        <x:v>PahariLI</x:v>
      </x:c>
      <x:c r="C22" s="34" t="str">
        <x:v>Reference only</x:v>
      </x:c>
      <x:c r="D22" s="34" t="str">
        <x:v>Quarantine</x:v>
      </x:c>
      <x:c r="E22" s="34" t="str">
        <x:v>Language-ID sentence corpus</x:v>
      </x:c>
      <x:c r="F22" s="34" t="str">
        <x:v>15,000 Garhwali sentences; paper reports 237,534 words and 27,243 types</x:v>
      </x:c>
      <x:c r="G22" s="34" t="str">
        <x:v>GitHub train/test text files</x:v>
      </x:c>
      <x:c r="H22" s="34" t="str">
        <x:v>Repository says Apache 2.0, but underlying blogs and translated New Testament are not shown as cleared</x:v>
      </x:c>
      <x:c r="I22" s="35" t="str">
        <x:v>Low</x:v>
      </x:c>
      <x:c r="J22" s="35" t="str">
        <x:v>Mixed web genres plus 5,000 translated New Testament sentences</x:v>
      </x:c>
      <x:c r="K22" s="35" t="str">
        <x:v>Easy</x:v>
      </x:c>
      <x:c r="L22" s="34" t="str">
        <x:v>Software/repository license may not sublicense underlying copyrighted text</x:v>
      </x:c>
      <x:c r="M22" s="34" t="str">
        <x:v>Use for source discovery or private evaluation only; obtain a provenance/rights statement or rebuild from cleared originals</x:v>
      </x:c>
      <x:c r="N22" s="38" t="str">
        <x:v>https://github.com/rachanagusain/PahariLI</x:v>
      </x:c>
      <x:c r="O22" s="38" t="str">
        <x:v>https://github.com/rachanagusain/PahariLI/blob/main/LICENSE</x:v>
      </x:c>
      <x:c r="P22" s="34" t="str">
        <x:v>Do not place in the rights-cleared release solely because the repository has an Apache license</x:v>
      </x:c>
      <x:c r="Q22" s="36" t="str">
        <x:v>2026-09-07</x:v>
      </x:c>
    </x:row>
    <x:row r="23" ht="48" customHeight="1">
      <x:c r="A23" s="35" t="n">
        <x:v>2</x:v>
      </x:c>
      <x:c r="B23" s="34" t="str">
        <x:v>MADLAD-400 — Garhwali clean split</x:v>
      </x:c>
      <x:c r="C23" s="34" t="str">
        <x:v>Reference only</x:v>
      </x:c>
      <x:c r="D23" s="34" t="str">
        <x:v>Quarantine</x:v>
      </x:c>
      <x:c r="E23" s="34" t="str">
        <x:v>Web text crawl</x:v>
      </x:c>
      <x:c r="F23" s="34" t="str">
        <x:v>137 clean documents; about 499.6K clean characters and 99.7K clean words in the dataset audit</x:v>
      </x:c>
      <x:c r="G23" s="34" t="str">
        <x:v>Hugging Face / Common Crawl-derived text</x:v>
      </x:c>
      <x:c r="H23" s="34" t="str">
        <x:v>ODC-BY for the database; underlying page copyrights can persist</x:v>
      </x:c>
      <x:c r="I23" s="35" t="str">
        <x:v>Medium</x:v>
      </x:c>
      <x:c r="J23" s="35" t="str">
        <x:v>Web-derived Garhwali, dialect and language-ID quality uncertain</x:v>
      </x:c>
      <x:c r="K23" s="35" t="str">
        <x:v>Easy</x:v>
      </x:c>
      <x:c r="L23" s="34" t="str">
        <x:v>Database license is not blanket clearance for every crawled work</x:v>
      </x:c>
      <x:c r="M23" s="34" t="str">
        <x:v>Use as a URL discovery and dedup/reference set; only promote documents with source-level licenses</x:v>
      </x:c>
      <x:c r="N23" s="38" t="str">
        <x:v>https://huggingface.co/datasets/allenai/MADLAD-400</x:v>
      </x:c>
      <x:c r="O23" s="38" t="str">
        <x:v>https://opendatacommons.org/licenses/by/1-0/</x:v>
      </x:c>
      <x:c r="P23" s="34" t="str">
        <x:v>Useful scale signal, not a rights-cleared core by default</x:v>
      </x:c>
      <x:c r="Q23" s="36" t="str">
        <x:v>2026-09-07</x:v>
      </x:c>
    </x:row>
    <x:row r="24" ht="48" customHeight="1">
      <x:c r="A24" s="35" t="n">
        <x:v>3</x:v>
      </x:c>
      <x:c r="B24" s="34" t="str">
        <x:v>indic-dialect-asr — Garhwali mirror</x:v>
      </x:c>
      <x:c r="C24" s="34" t="str">
        <x:v>Exclude duplicate</x:v>
      </x:c>
      <x:c r="D24" s="34" t="str">
        <x:v>Do not ingest</x:v>
      </x:c>
      <x:c r="E24" s="34" t="str">
        <x:v>Speech + transcript mirror</x:v>
      </x:c>
      <x:c r="F24" s="34" t="str">
        <x:v>7,823 rows / about 2.31 GB Parquet in the mirror</x:v>
      </x:c>
      <x:c r="G24" s="34" t="str">
        <x:v>Hugging Face community dataset</x:v>
      </x:c>
      <x:c r="H24" s="34" t="str">
        <x:v>Mirror declares CC BY 4.0; sample rows cite facebook/omnilingual-asr-corpus</x:v>
      </x:c>
      <x:c r="I24" s="35" t="str">
        <x:v>Medium</x:v>
      </x:c>
      <x:c r="J24" s="35" t="str">
        <x:v>Garhwali label; exact additions beyond upstream were not documented</x:v>
      </x:c>
      <x:c r="K24" s="35" t="str">
        <x:v>Easy</x:v>
      </x:c>
      <x:c r="L24" s="34" t="str">
        <x:v>Row count differs from Meta's official 2,927-item gbm_Deva config; provenance transformation unclear</x:v>
      </x:c>
      <x:c r="M24" s="34" t="str">
        <x:v>Ingest Meta upstream directly; reconsider mirror only after the maintainer documents every added source and transform</x:v>
      </x:c>
      <x:c r="N24" s="38" t="str">
        <x:v>https://huggingface.co/datasets/grushaaaaa/indic-dialect-asr</x:v>
      </x:c>
      <x:c r="O24" s="38" t="str">
        <x:v>https://huggingface.co/datasets/facebook/omnilingual-asr-corpus</x:v>
      </x:c>
      <x:c r="P24" s="34" t="str">
        <x:v>Avoid duplicate audio and ambiguous attribution</x:v>
      </x:c>
      <x:c r="Q24" s="36" t="str">
        <x:v>2026-09-07</x:v>
      </x:c>
    </x:row>
    <x:row r="25" ht="48" customHeight="1">
      <x:c r="A25" s="35" t="n">
        <x:v>1</x:v>
      </x:c>
      <x:c r="B25" s="34" t="str">
        <x:v>HimLingo Garhwali dictionary</x:v>
      </x:c>
      <x:c r="C25" s="34" t="str">
        <x:v>Permission required</x:v>
      </x:c>
      <x:c r="D25" s="34" t="str">
        <x:v>Partnership lead</x:v>
      </x:c>
      <x:c r="E25" s="34" t="str">
        <x:v>Community dictionary</x:v>
      </x:c>
      <x:c r="F25" s="34" t="str">
        <x:v>4,206 Garhwali words across 13 dialects reported on site</x:v>
      </x:c>
      <x:c r="G25" s="34" t="str">
        <x:v>Website; no authorized bulk export located</x:v>
      </x:c>
      <x:c r="H25" s="34" t="str">
        <x:v>All rights reserved / terms prohibit scraping without permission</x:v>
      </x:c>
      <x:c r="I25" s="35" t="str">
        <x:v>High</x:v>
      </x:c>
      <x:c r="J25" s="35" t="str">
        <x:v>Strong modern dialect coverage</x:v>
      </x:c>
      <x:c r="K25" s="35" t="str">
        <x:v>Medium</x:v>
      </x:c>
      <x:c r="L25" s="34" t="str">
        <x:v>Contributor ownership; site receives only a non-exclusive contributor license</x:v>
      </x:c>
      <x:c r="M25" s="34" t="str">
        <x:v>Request a separately licensed export, contributor-sublicense warranty and provenance fields; do not scrape</x:v>
      </x:c>
      <x:c r="N25" s="38" t="str">
        <x:v>https://himlingo.com/</x:v>
      </x:c>
      <x:c r="O25" s="38" t="str">
        <x:v>https://himlingo.com/terms-of-services/</x:v>
      </x:c>
      <x:c r="P25" s="34" t="str">
        <x:v>Highest-value permission outreach lead</x:v>
      </x:c>
      <x:c r="Q25" s="36" t="str">
        <x:v>2026-09-07</x:v>
      </x:c>
    </x:row>
    <x:row r="26" ht="48" customHeight="1">
      <x:c r="A26" s="35" t="n">
        <x:v>2</x:v>
      </x:c>
      <x:c r="B26" s="34" t="str">
        <x:v>Hindwi Garhwali Dictionary</x:v>
      </x:c>
      <x:c r="C26" s="34" t="str">
        <x:v>Permission required</x:v>
      </x:c>
      <x:c r="D26" s="34" t="str">
        <x:v>Partnership lead</x:v>
      </x:c>
      <x:c r="E26" s="34" t="str">
        <x:v>Online dictionary</x:v>
      </x:c>
      <x:c r="F26" s="34" t="str">
        <x:v>Quantity not verified; Garhwali search portal exists</x:v>
      </x:c>
      <x:c r="G26" s="34" t="str">
        <x:v>Website search interface</x:v>
      </x:c>
      <x:c r="H26" s="34" t="str">
        <x:v>No open license found</x:v>
      </x:c>
      <x:c r="I26" s="35" t="str">
        <x:v>Low</x:v>
      </x:c>
      <x:c r="J26" s="35" t="str">
        <x:v>Modern lexical content</x:v>
      </x:c>
      <x:c r="K26" s="35" t="str">
        <x:v>Medium</x:v>
      </x:c>
      <x:c r="L26" s="34" t="str">
        <x:v>No redistribution grant; automated access may be blocked</x:v>
      </x:c>
      <x:c r="M26" s="34" t="str">
        <x:v>Ask the publisher for a licensed data export and attribution requirements</x:v>
      </x:c>
      <x:c r="N26" s="38" t="str">
        <x:v>https://www.hindwidictionary.com/garhwali</x:v>
      </x:c>
      <x:c r="O26" s="38" t="str">
        <x:v>https://www.hindwidictionary.com/garhwali</x:v>
      </x:c>
      <x:c r="P26" s="34" t="str">
        <x:v>Do not infer permission from public web access</x:v>
      </x:c>
      <x:c r="Q26" s="36" t="str">
        <x:v>2026-09-07</x:v>
      </x:c>
    </x:row>
    <x:row r="27" ht="48" customHeight="1">
      <x:c r="A27" s="35" t="n">
        <x:v>2</x:v>
      </x:c>
      <x:c r="B27" s="34" t="str">
        <x:v>TUFS repository — Garhwali idioms/proverbs collection</x:v>
      </x:c>
      <x:c r="C27" s="34" t="str">
        <x:v>Permission required</x:v>
      </x:c>
      <x:c r="D27" s="34" t="str">
        <x:v>Partnership lead</x:v>
      </x:c>
      <x:c r="E27" s="34" t="str">
        <x:v>Idioms and proverbs</x:v>
      </x:c>
      <x:c r="F27" s="34" t="str">
        <x:v>Record and table-of-contents files located; full usable text amount not verified</x:v>
      </x:c>
      <x:c r="G27" s="34" t="str">
        <x:v>Institutional repository record</x:v>
      </x:c>
      <x:c r="H27" s="34" t="str">
        <x:v>No reuse license found on the record</x:v>
      </x:c>
      <x:c r="I27" s="35" t="str">
        <x:v>Low</x:v>
      </x:c>
      <x:c r="J27" s="35" t="str">
        <x:v>Garhwali phraseology</x:v>
      </x:c>
      <x:c r="K27" s="35" t="str">
        <x:v>Medium</x:v>
      </x:c>
      <x:c r="L27" s="34" t="str">
        <x:v>Modern compilation rights; repository access is not reuse permission</x:v>
      </x:c>
      <x:c r="M27" s="34" t="str">
        <x:v>Contact author/repository for a machine-readable export and explicit corpus license</x:v>
      </x:c>
      <x:c r="N27" s="38" t="str">
        <x:v>https://tufs.repo.nii.ac.jp/records/17829</x:v>
      </x:c>
      <x:c r="O27" s="38" t="str">
        <x:v>https://tufs.repo.nii.ac.jp/records/17829</x:v>
      </x:c>
      <x:c r="P27" s="34" t="str">
        <x:v>Potentially high linguistic value if licensed</x:v>
      </x:c>
      <x:c r="Q27" s="36" t="str">
        <x:v>2026-09-07</x:v>
      </x:c>
    </x:row>
    <x:row r="28" ht="48" customHeight="1">
      <x:c r="A28" s="35" t="n">
        <x:v>2</x:v>
      </x:c>
      <x:c r="B28" s="34" t="str">
        <x:v>Garhwali periodical / newspaper archive (founded 1905)</x:v>
      </x:c>
      <x:c r="C28" s="34" t="str">
        <x:v>Permission required</x:v>
      </x:c>
      <x:c r="D28" s="34" t="str">
        <x:v>Archive hunt</x:v>
      </x:c>
      <x:c r="E28" s="34" t="str">
        <x:v>Periodical prose</x:v>
      </x:c>
      <x:c r="F28" s="34" t="str">
        <x:v>No rights-cleared digitized run located</x:v>
      </x:c>
      <x:c r="G28" s="34" t="str">
        <x:v>Library, archive or publisher holdings</x:v>
      </x:c>
      <x:c r="H28" s="34" t="str">
        <x:v>Issue- and contributor-level rights audit required</x:v>
      </x:c>
      <x:c r="I28" s="35" t="str">
        <x:v>Low</x:v>
      </x:c>
      <x:c r="J28" s="35" t="str">
        <x:v>Historical public prose and literary Garhwali</x:v>
      </x:c>
      <x:c r="K28" s="35" t="str">
        <x:v>High</x:v>
      </x:c>
      <x:c r="L28" s="34" t="str">
        <x:v>Anonymous/pseudonymous items, later issues, photos and advertisements have different terms</x:v>
      </x:c>
      <x:c r="M28" s="34" t="str">
        <x:v>Identify holdings and digitize issue-by-issue with a contributor/date rights ledger</x:v>
      </x:c>
      <x:c r="N28" s="38" t="str">
        <x:v>https://en.wikipedia.org/wiki/Garhwali_language</x:v>
      </x:c>
      <x:c r="O28" s="38" t="str">
        <x:v>https://copyright.gov.in/Copyright_Act_1957/chapter_v.html</x:v>
      </x:c>
      <x:c r="P28" s="34" t="str">
        <x:v>High upside but not ready for ingestion</x:v>
      </x:c>
      <x:c r="Q28" s="36" t="str">
        <x:v>2026-09-07</x:v>
      </x:c>
    </x:row>
    <x:row r="29" ht="48" customHeight="1">
      <x:c r="A29" s="35" t="n">
        <x:v>1</x:v>
      </x:c>
      <x:c r="B29" s="34" t="str">
        <x:v>Garhwali New Testament / Bible translation</x:v>
      </x:c>
      <x:c r="C29" s="34" t="str">
        <x:v>Permission required</x:v>
      </x:c>
      <x:c r="D29" s="34" t="str">
        <x:v>Do not ingest</x:v>
      </x:c>
      <x:c r="E29" s="34" t="str">
        <x:v>Parallel religious text</x:v>
      </x:c>
      <x:c r="F29" s="34" t="str">
        <x:v>PahariLI reports 5,000 sentences derived from a translated New Testament</x:v>
      </x:c>
      <x:c r="G29" s="34" t="str">
        <x:v>Web/app text and derived corpus</x:v>
      </x:c>
      <x:c r="H29" s="34" t="str">
        <x:v>No open text license confirmed for the Garhwali translation</x:v>
      </x:c>
      <x:c r="I29" s="35" t="str">
        <x:v>Low</x:v>
      </x:c>
      <x:c r="J29" s="35" t="str">
        <x:v>Religious translation register</x:v>
      </x:c>
      <x:c r="K29" s="35" t="str">
        <x:v>Easy</x:v>
      </x:c>
      <x:c r="L29" s="34" t="str">
        <x:v>Modern translation copyright; presence in another corpus does not clear redistribution</x:v>
      </x:c>
      <x:c r="M29" s="34" t="str">
        <x:v>Seek written permission from the translation rights holder or exclude</x:v>
      </x:c>
      <x:c r="N29" s="38" t="str">
        <x:v>https://www.bible.com/languages/gbm</x:v>
      </x:c>
      <x:c r="O29" s="38" t="str">
        <x:v>https://www.bible.com/terms</x:v>
      </x:c>
      <x:c r="P29" s="34" t="str">
        <x:v>Rights issue likely explains a large portion of PahariLI risk</x:v>
      </x:c>
      <x:c r="Q29" s="36" t="str">
        <x:v>2026-09-07</x:v>
      </x:c>
    </x:row>
    <x:row r="30" ht="48" customHeight="1">
      <x:c r="A30" s="35" t="n">
        <x:v>3</x:v>
      </x:c>
      <x:c r="B30" s="34" t="str">
        <x:v>BhashaDaan / BHASHINI contribution channel</x:v>
      </x:c>
      <x:c r="C30" s="34" t="str">
        <x:v>Collection channel</x:v>
      </x:c>
      <x:c r="D30" s="34" t="str">
        <x:v>Future CC0</x:v>
      </x:c>
      <x:c r="E30" s="34" t="str">
        <x:v>Crowdsourced speech/text</x:v>
      </x:c>
      <x:c r="F30" s="34" t="str">
        <x:v>No specific existing Garhwali release confirmed</x:v>
      </x:c>
      <x:c r="G30" s="34" t="str">
        <x:v>Government collection portal</x:v>
      </x:c>
      <x:c r="H30" s="34" t="str">
        <x:v>Contribution terms state CC0 1.0 for contributed data</x:v>
      </x:c>
      <x:c r="I30" s="35" t="str">
        <x:v>Medium</x:v>
      </x:c>
      <x:c r="J30" s="35" t="str">
        <x:v>Can be configured for community Garhwali collection</x:v>
      </x:c>
      <x:c r="K30" s="35" t="str">
        <x:v>Medium</x:v>
      </x:c>
      <x:c r="L30" s="34" t="str">
        <x:v>Confirm consent flow, moderation and export availability before launch</x:v>
      </x:c>
      <x:c r="M30" s="34" t="str">
        <x:v>Use as a future native-speaker collection pipeline; verify catalog and export mechanics first</x:v>
      </x:c>
      <x:c r="N30" s="38" t="str">
        <x:v>https://bhashini.gov.in/bhashadaan/</x:v>
      </x:c>
      <x:c r="O30" s="38" t="str">
        <x:v>https://bhashini.gov.in/bhashadaan/or/terms-and-conditions</x:v>
      </x:c>
      <x:c r="P30" s="34" t="str">
        <x:v>Channel, not a verified current Garhwali dataset</x:v>
      </x:c>
      <x:c r="Q30" s="36" t="str">
        <x:v>2026-09-07</x:v>
      </x:c>
    </x:row>
    <x:row r="31" ht="48" customHeight="1">
      <x:c r="A31" s="35" t="n">
        <x:v>3</x:v>
      </x:c>
      <x:c r="B31" s="34" t="str">
        <x:v>Mozilla Common Voice</x:v>
      </x:c>
      <x:c r="C31" s="34" t="str">
        <x:v>Collection channel</x:v>
      </x:c>
      <x:c r="D31" s="34" t="str">
        <x:v>Future CC0</x:v>
      </x:c>
      <x:c r="E31" s="34" t="str">
        <x:v>Crowdsourced speech</x:v>
      </x:c>
      <x:c r="F31" s="34" t="str">
        <x:v>No Garhwali locale found in the current dataset catalog</x:v>
      </x:c>
      <x:c r="G31" s="34" t="str">
        <x:v>Mozilla Data Collective</x:v>
      </x:c>
      <x:c r="H31" s="34" t="str">
        <x:v>CC0 1.0 for Common Voice datasets</x:v>
      </x:c>
      <x:c r="I31" s="35" t="str">
        <x:v>High</x:v>
      </x:c>
      <x:c r="J31" s="35" t="str">
        <x:v>Potential modern community speech</x:v>
      </x:c>
      <x:c r="K31" s="35" t="str">
        <x:v>High</x:v>
      </x:c>
      <x:c r="L31" s="34" t="str">
        <x:v>Requires locale onboarding, prompt creation and sustained validation community</x:v>
      </x:c>
      <x:c r="M31" s="34" t="str">
        <x:v>Treat as a future collection program, not an existing source</x:v>
      </x:c>
      <x:c r="N31" s="38" t="str">
        <x:v>https://commonvoice.mozilla.org/en/datasets</x:v>
      </x:c>
      <x:c r="O31" s="38" t="str">
        <x:v>https://creativecommons.org/publicdomain/zero/1.0/</x:v>
      </x:c>
      <x:c r="P31" s="34" t="str">
        <x:v>Current catalog check found no Garhwali dataset</x:v>
      </x:c>
      <x:c r="Q31" s="36" t="str">
        <x:v>2026-09-07</x:v>
      </x:c>
    </x:row>
  </x:sheetData>
  <x:conditionalFormatting sqref="C9:C31">
    <x:cfRule type="containsText" dxfId="0" priority="1" operator="containsText" text="Ingest now"/>
    <x:cfRule type="containsText" dxfId="1" priority="2" operator="containsText" text="Ingest after review"/>
    <x:cfRule type="containsText" dxfId="2" priority="3" operator="containsText" text="Permission required"/>
    <x:cfRule type="containsText" dxfId="3" priority="4" operator="containsText" text="Reference only"/>
    <x:cfRule type="containsText" dxfId="4" priority="5" operator="containsText" text="Exclude duplicate"/>
    <x:cfRule type="containsText" dxfId="5" priority="6" operator="containsText" text="Collection channel"/>
  </x:conditionalFormatting>
  <x:pageMargins left="0.7" right="0.7" top="0.75" bottom="0.75" header="0.3" footer="0.3"/>
  <x:tableParts count="1">
    <x:tablePart xmlns:r="http://schemas.openxmlformats.org/officeDocument/2006/relationships" r:id="Rda8127265cc141af"/>
  </x:tableParts>
</x:worksheet>
</file>

<file path=xl/worksheets/sheet2.xml><?xml version="1.0" encoding="utf-8"?>
<x:worksheet xmlns:x="http://schemas.openxmlformats.org/spreadsheetml/2006/main">
  <x:sheetPr>
    <x:tabColor rgb="FF7C3AED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6.670000076293945" hidden="0" customWidth="1"/>
    <x:col min="2" max="2" width="11.109999656677246" hidden="0" customWidth="1"/>
    <x:col min="3" max="3" width="15" hidden="0" customWidth="1"/>
    <x:col min="4" max="4" width="26.110000610351562" hidden="0" customWidth="1"/>
    <x:col min="5" max="5" width="26.110000610351562" hidden="0" customWidth="1"/>
    <x:col min="6" max="6" width="21.110000610351562" hidden="0" customWidth="1"/>
  </x:cols>
  <x:sheetData>
    <x:row r="1" ht="7.5" customHeight="1"/>
    <x:row r="2">
      <x:c r="A2" s="1" t="str">
        <x:v>Rights guide for corpus admission</x:v>
      </x:c>
      <x:c r="B2" s="1"/>
      <x:c r="C2" s="1"/>
      <x:c r="D2" s="1"/>
      <x:c r="E2" s="1"/>
      <x:c r="F2" s="1"/>
    </x:row>
    <x:row r="3">
      <x:c r="A3" s="2" t="str">
        <x:v>Operational guidance, not legal advice. A source is admitted only when the rights class and evidence are stored at source and item level.</x:v>
      </x:c>
      <x:c r="B3" s="2"/>
      <x:c r="C3" s="2"/>
      <x:c r="D3" s="2"/>
      <x:c r="E3" s="2"/>
      <x:c r="F3" s="2"/>
    </x:row>
    <x:row r="4">
      <x:c r="A4" s="3"/>
      <x:c r="B4" s="3"/>
      <x:c r="C4" s="3"/>
      <x:c r="D4" s="3"/>
      <x:c r="E4" s="3"/>
      <x:c r="F4" s="3"/>
    </x:row>
    <x:row r="5" ht="24" customHeight="1">
      <x:c r="A5" s="50" t="str">
        <x:v>Rights class</x:v>
      </x:c>
      <x:c r="B5" s="51" t="str">
        <x:v>Redistribute?</x:v>
      </x:c>
      <x:c r="C5" s="51" t="str">
        <x:v>Corpus treatment</x:v>
      </x:c>
      <x:c r="D5" s="51" t="str">
        <x:v>Required controls</x:v>
      </x:c>
      <x:c r="E5" s="51" t="str">
        <x:v>Primary failure mode</x:v>
      </x:c>
      <x:c r="F5" s="52" t="str">
        <x:v>Authority / license URL</x:v>
      </x:c>
    </x:row>
    <x:row r="6" ht="43.5" customHeight="1">
      <x:c r="A6" s="55" t="str">
        <x:v>CC0 1.0</x:v>
      </x:c>
      <x:c r="B6" s="55" t="str">
        <x:v>Yes</x:v>
      </x:c>
      <x:c r="C6" s="55" t="str">
        <x:v>Core-open</x:v>
      </x:c>
      <x:c r="D6" s="55" t="str">
        <x:v>Store source and release version even though attribution is not required</x:v>
      </x:c>
      <x:c r="E6" s="55" t="str">
        <x:v>Dataset may still contain privacy or consent defects</x:v>
      </x:c>
      <x:c r="F6" s="57" t="str">
        <x:v>https://creativecommons.org/publicdomain/zero/1.0/</x:v>
      </x:c>
    </x:row>
    <x:row r="7" ht="43.5" customHeight="1">
      <x:c r="A7" s="55" t="str">
        <x:v>CC BY 4.0</x:v>
      </x:c>
      <x:c r="B7" s="55" t="str">
        <x:v>Yes</x:v>
      </x:c>
      <x:c r="C7" s="55" t="str">
        <x:v>Core-open</x:v>
      </x:c>
      <x:c r="D7" s="55" t="str">
        <x:v>Attribution, license link and modification notice; preserve item/source metadata</x:v>
      </x:c>
      <x:c r="E7" s="55" t="str">
        <x:v>Losing contributor or source attribution during normalization</x:v>
      </x:c>
      <x:c r="F7" s="57" t="str">
        <x:v>https://creativecommons.org/licenses/by/4.0/</x:v>
      </x:c>
    </x:row>
    <x:row r="8" ht="43.5" customHeight="1">
      <x:c r="A8" s="55" t="str">
        <x:v>CC BY-SA 4.0</x:v>
      </x:c>
      <x:c r="B8" s="55" t="str">
        <x:v>Yes, under compatible share-alike terms</x:v>
      </x:c>
      <x:c r="C8" s="55" t="str">
        <x:v>Extended-SA</x:v>
      </x:c>
      <x:c r="D8" s="55" t="str">
        <x:v>Separate release layer; attribution, license link, modification notice and share-alike compliance</x:v>
      </x:c>
      <x:c r="E8" s="55" t="str">
        <x:v>Mixing share-alike text into a corpus promised under a more permissive blanket license</x:v>
      </x:c>
      <x:c r="F8" s="57" t="str">
        <x:v>https://creativecommons.org/licenses/by-sa/4.0/</x:v>
      </x:c>
    </x:row>
    <x:row r="9" ht="43.5" customHeight="1">
      <x:c r="A9" s="55" t="str">
        <x:v>CC BY 2.0 FR</x:v>
      </x:c>
      <x:c r="B9" s="55" t="str">
        <x:v>Yes</x:v>
      </x:c>
      <x:c r="C9" s="55" t="str">
        <x:v>Extended-attribution</x:v>
      </x:c>
      <x:c r="D9" s="55" t="str">
        <x:v>Retain the exact license version/jurisdiction, contributor and sentence ID</x:v>
      </x:c>
      <x:c r="E9" s="55" t="str">
        <x:v>Collapsing it to generic 'CC BY' and losing version-specific notice</x:v>
      </x:c>
      <x:c r="F9" s="57" t="str">
        <x:v>https://creativecommons.org/licenses/by/2.0/fr/</x:v>
      </x:c>
    </x:row>
    <x:row r="10" ht="43.5" customHeight="1">
      <x:c r="A10" s="55" t="str">
        <x:v>Public domain</x:v>
      </x:c>
      <x:c r="B10" s="55" t="str">
        <x:v>Yes after jurisdiction check</x:v>
      </x:c>
      <x:c r="C10" s="55" t="str">
        <x:v>Core-PD</x:v>
      </x:c>
      <x:c r="D10" s="55" t="str">
        <x:v>Record author death/publication dates, edition, scan rights and jurisdictions</x:v>
      </x:c>
      <x:c r="E10" s="55" t="str">
        <x:v>Assuming 'old' or 'digitized by a library' automatically means public domain everywhere</x:v>
      </x:c>
      <x:c r="F10" s="57" t="str">
        <x:v>https://copyright.gov.in/Copyright_Act_1957/chapter_v.html</x:v>
      </x:c>
    </x:row>
    <x:row r="11" ht="43.5" customHeight="1">
      <x:c r="A11" s="55" t="str">
        <x:v>ODC-BY database</x:v>
      </x:c>
      <x:c r="B11" s="55" t="str">
        <x:v>Database reuse may be allowed</x:v>
      </x:c>
      <x:c r="C11" s="55" t="str">
        <x:v>Quarantine until item-level audit</x:v>
      </x:c>
      <x:c r="D11" s="55" t="str">
        <x:v>Track source URLs and the copyright/license of each underlying document</x:v>
      </x:c>
      <x:c r="E11" s="55" t="str">
        <x:v>Treating database rights as copyright clearance for crawled works</x:v>
      </x:c>
      <x:c r="F11" s="57" t="str">
        <x:v>https://opendatacommons.org/licenses/by/1-0/</x:v>
      </x:c>
    </x:row>
    <x:row r="12" ht="43.5" customHeight="1">
      <x:c r="A12" s="55" t="str">
        <x:v>Software/repository license only</x:v>
      </x:c>
      <x:c r="B12" s="55" t="str">
        <x:v>Not enough for content</x:v>
      </x:c>
      <x:c r="C12" s="55" t="str">
        <x:v>Quarantine</x:v>
      </x:c>
      <x:c r="D12" s="55" t="str">
        <x:v>Obtain an explicit data/content license plus source-provenance schedule</x:v>
      </x:c>
      <x:c r="E12" s="55" t="str">
        <x:v>Apache/MIT on code is mistakenly applied to blogs, books or translations bundled as data</x:v>
      </x:c>
      <x:c r="F12" s="57" t="str">
        <x:v>https://www.apache.org/licenses/LICENSE-2.0</x:v>
      </x:c>
    </x:row>
    <x:row r="13" ht="43.5" customHeight="1">
      <x:c r="A13" s="55" t="str">
        <x:v>No license / all rights reserved</x:v>
      </x:c>
      <x:c r="B13" s="55" t="str">
        <x:v>No</x:v>
      </x:c>
      <x:c r="C13" s="55" t="str">
        <x:v>Permission required</x:v>
      </x:c>
      <x:c r="D13" s="55" t="str">
        <x:v>Written export license, sublicense authority, contributor consent and attribution terms</x:v>
      </x:c>
      <x:c r="E13" s="55" t="str">
        <x:v>Public accessibility is mistaken for permission to scrape and redistribute</x:v>
      </x:c>
      <x:c r="F13" s="57" t="str">
        <x:v>https://copyright.gov.in/Copyright_Act_1957/chapter_v.html</x:v>
      </x:c>
    </x:row>
    <x:row r="14" ht="43.5" customHeight="1">
      <x:c r="A14" s="55" t="str">
        <x:v>Indian government publication</x:v>
      </x:c>
      <x:c r="B14" s="55" t="str">
        <x:v>Not automatically</x:v>
      </x:c>
      <x:c r="C14" s="55" t="str">
        <x:v>Rights audit</x:v>
      </x:c>
      <x:c r="D14" s="55" t="str">
        <x:v>Check Section 28 term, first-publication date and any stated open-data license</x:v>
      </x:c>
      <x:c r="E14" s="55" t="str">
        <x:v>A .gov.in host is incorrectly treated as public domain</x:v>
      </x:c>
      <x:c r="F14" s="57" t="str">
        <x:v>https://www.indiacode.nic.in/bitstream/123456789/15356/1/the_copyright_act%2C_1957.pdf</x:v>
      </x:c>
    </x:row>
  </x:sheetData>
  <x:pageMargins left="0.7" right="0.7" top="0.75" bottom="0.75" header="0.3" footer="0.3"/>
  <x:tableParts count="1">
    <x:tablePart xmlns:r="http://schemas.openxmlformats.org/officeDocument/2006/relationships" r:id="R529c5e7c4ac941be"/>
  </x:tableParts>
</x:worksheet>
</file>

<file path=xl/worksheets/sheet3.xml><?xml version="1.0" encoding="utf-8"?>
<x:worksheet xmlns:x="http://schemas.openxmlformats.org/spreadsheetml/2006/main">
  <x:sheetPr>
    <x:tabColor rgb="FF0F766E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6.670000076293945" hidden="0" customWidth="1"/>
    <x:col min="2" max="2" width="10" hidden="0" customWidth="1"/>
    <x:col min="3" max="3" width="10.5600004196167" hidden="0" customWidth="1"/>
    <x:col min="4" max="4" width="23.329999923706055" hidden="0" customWidth="1"/>
    <x:col min="5" max="5" width="27.780000686645508" hidden="0" customWidth="1"/>
    <x:col min="6" max="6" width="23.329999923706055" hidden="0" customWidth="1"/>
  </x:cols>
  <x:sheetData>
    <x:row r="1" ht="7.5" customHeight="1"/>
    <x:row r="2">
      <x:c r="A2" s="1" t="str">
        <x:v>Minimum provenance schema</x:v>
      </x:c>
      <x:c r="B2" s="1"/>
      <x:c r="C2" s="1"/>
      <x:c r="D2" s="1"/>
      <x:c r="E2" s="1"/>
      <x:c r="F2" s="1"/>
    </x:row>
    <x:row r="3">
      <x:c r="A3" s="2" t="str">
        <x:v>One record per text unit or audio segment. Preserve originals; normalization and rights decisions are explicit fields, never destructive edits.</x:v>
      </x:c>
      <x:c r="B3" s="2"/>
      <x:c r="C3" s="2"/>
      <x:c r="D3" s="2"/>
      <x:c r="E3" s="2"/>
      <x:c r="F3" s="2"/>
    </x:row>
    <x:row r="4">
      <x:c r="A4" s="3"/>
      <x:c r="B4" s="3"/>
      <x:c r="C4" s="3"/>
      <x:c r="D4" s="3"/>
      <x:c r="E4" s="3"/>
      <x:c r="F4" s="3"/>
    </x:row>
    <x:row r="5" ht="24" customHeight="1">
      <x:c r="A5" s="69" t="str">
        <x:v>Field</x:v>
      </x:c>
      <x:c r="B5" s="70" t="str">
        <x:v>Type</x:v>
      </x:c>
      <x:c r="C5" s="70" t="str">
        <x:v>Required</x:v>
      </x:c>
      <x:c r="D5" s="70" t="str">
        <x:v>Purpose</x:v>
      </x:c>
      <x:c r="E5" s="70" t="str">
        <x:v>Example / rule</x:v>
      </x:c>
      <x:c r="F5" s="71" t="str">
        <x:v>Validation</x:v>
      </x:c>
    </x:row>
    <x:row r="6" ht="31.5" customHeight="1">
      <x:c r="A6" s="55" t="str">
        <x:v>record_id</x:v>
      </x:c>
      <x:c r="B6" s="55" t="str">
        <x:v>string</x:v>
      </x:c>
      <x:c r="C6" s="55" t="str">
        <x:v>Yes</x:v>
      </x:c>
      <x:c r="D6" s="55" t="str">
        <x:v>Stable internal identifier</x:v>
      </x:c>
      <x:c r="E6" s="55" t="str">
        <x:v>gbm_meta_000001</x:v>
      </x:c>
      <x:c r="F6" s="55" t="str">
        <x:v>Unique, immutable</x:v>
      </x:c>
    </x:row>
    <x:row r="7" ht="31.5" customHeight="1">
      <x:c r="A7" s="55" t="str">
        <x:v>text_original</x:v>
      </x:c>
      <x:c r="B7" s="55" t="str">
        <x:v>string</x:v>
      </x:c>
      <x:c r="C7" s="55" t="str">
        <x:v>For text</x:v>
      </x:c>
      <x:c r="D7" s="55" t="str">
        <x:v>Verbatim source text</x:v>
      </x:c>
      <x:c r="E7" s="55" t="str">
        <x:v>Preserve punctuation and spelling</x:v>
      </x:c>
      <x:c r="F7" s="55" t="str">
        <x:v>Never silently overwrite</x:v>
      </x:c>
    </x:row>
    <x:row r="8" ht="31.5" customHeight="1">
      <x:c r="A8" s="55" t="str">
        <x:v>text_normalized</x:v>
      </x:c>
      <x:c r="B8" s="55" t="str">
        <x:v>string</x:v>
      </x:c>
      <x:c r="C8" s="55" t="str">
        <x:v>Recommended</x:v>
      </x:c>
      <x:c r="D8" s="55" t="str">
        <x:v>Search/training normalization</x:v>
      </x:c>
      <x:c r="E8" s="55" t="str">
        <x:v>Unicode NFC; documented punctuation policy</x:v>
      </x:c>
      <x:c r="F8" s="55" t="str">
        <x:v>Transformation version required</x:v>
      </x:c>
    </x:row>
    <x:row r="9" ht="31.5" customHeight="1">
      <x:c r="A9" s="55" t="str">
        <x:v>script</x:v>
      </x:c>
      <x:c r="B9" s="55" t="str">
        <x:v>string</x:v>
      </x:c>
      <x:c r="C9" s="55" t="str">
        <x:v>Yes</x:v>
      </x:c>
      <x:c r="D9" s="55" t="str">
        <x:v>Writing system</x:v>
      </x:c>
      <x:c r="E9" s="55" t="str">
        <x:v>Deva or Latn</x:v>
      </x:c>
      <x:c r="F9" s="55" t="str">
        <x:v>ISO 15924</x:v>
      </x:c>
    </x:row>
    <x:row r="10" ht="31.5" customHeight="1">
      <x:c r="A10" s="55" t="str">
        <x:v>iso_639_3</x:v>
      </x:c>
      <x:c r="B10" s="55" t="str">
        <x:v>string</x:v>
      </x:c>
      <x:c r="C10" s="55" t="str">
        <x:v>Yes</x:v>
      </x:c>
      <x:c r="D10" s="55" t="str">
        <x:v>Language identity</x:v>
      </x:c>
      <x:c r="E10" s="55" t="str">
        <x:v>gbm</x:v>
      </x:c>
      <x:c r="F10" s="55" t="str">
        <x:v>Fixed to gbm unless a mixed-language flag applies</x:v>
      </x:c>
    </x:row>
    <x:row r="11" ht="31.5" customHeight="1">
      <x:c r="A11" s="55" t="str">
        <x:v>language_confidence</x:v>
      </x:c>
      <x:c r="B11" s="55" t="str">
        <x:v>number</x:v>
      </x:c>
      <x:c r="C11" s="55" t="str">
        <x:v>Recommended</x:v>
      </x:c>
      <x:c r="D11" s="55" t="str">
        <x:v>Language-ID certainty</x:v>
      </x:c>
      <x:c r="E11" s="55" t="str">
        <x:v>0.98</x:v>
      </x:c>
      <x:c r="F11" s="55" t="str">
        <x:v>0 to 1; native review overrides model score</x:v>
      </x:c>
    </x:row>
    <x:row r="12" ht="31.5" customHeight="1">
      <x:c r="A12" s="55" t="str">
        <x:v>source_id</x:v>
      </x:c>
      <x:c r="B12" s="55" t="str">
        <x:v>string</x:v>
      </x:c>
      <x:c r="C12" s="55" t="str">
        <x:v>Yes</x:v>
      </x:c>
      <x:c r="D12" s="55" t="str">
        <x:v>Joins to source inventory</x:v>
      </x:c>
      <x:c r="E12" s="55" t="str">
        <x:v>meta_omni_gbm</x:v>
      </x:c>
      <x:c r="F12" s="55" t="str">
        <x:v>Controlled vocabulary</x:v>
      </x:c>
    </x:row>
    <x:row r="13" ht="31.5" customHeight="1">
      <x:c r="A13" s="55" t="str">
        <x:v>source_url</x:v>
      </x:c>
      <x:c r="B13" s="55" t="str">
        <x:v>string</x:v>
      </x:c>
      <x:c r="C13" s="55" t="str">
        <x:v>Yes</x:v>
      </x:c>
      <x:c r="D13" s="55" t="str">
        <x:v>Source-level provenance</x:v>
      </x:c>
      <x:c r="E13" s="55" t="str">
        <x:v>Dataset homepage</x:v>
      </x:c>
      <x:c r="F13" s="55" t="str">
        <x:v>HTTPS URL or archival catalog ID</x:v>
      </x:c>
    </x:row>
    <x:row r="14" ht="31.5" customHeight="1">
      <x:c r="A14" s="55" t="str">
        <x:v>item_url</x:v>
      </x:c>
      <x:c r="B14" s="55" t="str">
        <x:v>string</x:v>
      </x:c>
      <x:c r="C14" s="55" t="str">
        <x:v>When available</x:v>
      </x:c>
      <x:c r="D14" s="55" t="str">
        <x:v>Record-level provenance</x:v>
      </x:c>
      <x:c r="E14" s="55" t="str">
        <x:v>Wiki revision or sentence URL</x:v>
      </x:c>
      <x:c r="F14" s="55" t="str">
        <x:v>Prefer immutable/permalink URL</x:v>
      </x:c>
    </x:row>
    <x:row r="15" ht="31.5" customHeight="1">
      <x:c r="A15" s="55" t="str">
        <x:v>retrieval_date</x:v>
      </x:c>
      <x:c r="B15" s="55" t="str">
        <x:v>date</x:v>
      </x:c>
      <x:c r="C15" s="55" t="str">
        <x:v>Yes</x:v>
      </x:c>
      <x:c r="D15" s="55" t="str">
        <x:v>Reproducibility</x:v>
      </x:c>
      <x:c r="E15" s="55" t="str">
        <x:v>2026-09-07</x:v>
      </x:c>
      <x:c r="F15" s="55" t="str">
        <x:v>ISO 8601 date</x:v>
      </x:c>
    </x:row>
    <x:row r="16" ht="31.5" customHeight="1">
      <x:c r="A16" s="55" t="str">
        <x:v>source_title</x:v>
      </x:c>
      <x:c r="B16" s="55" t="str">
        <x:v>string</x:v>
      </x:c>
      <x:c r="C16" s="55" t="str">
        <x:v>Yes</x:v>
      </x:c>
      <x:c r="D16" s="55" t="str">
        <x:v>Human-readable citation</x:v>
      </x:c>
      <x:c r="E16" s="55" t="str">
        <x:v>Omnilingual ASR Corpus</x:v>
      </x:c>
      <x:c r="F16" s="55" t="str">
        <x:v>Non-empty</x:v>
      </x:c>
    </x:row>
    <x:row r="17" ht="31.5" customHeight="1">
      <x:c r="A17" s="55" t="str">
        <x:v>creator</x:v>
      </x:c>
      <x:c r="B17" s="55" t="str">
        <x:v>string</x:v>
      </x:c>
      <x:c r="C17" s="55" t="str">
        <x:v>When known</x:v>
      </x:c>
      <x:c r="D17" s="55" t="str">
        <x:v>Attribution and rights</x:v>
      </x:c>
      <x:c r="E17" s="55" t="str">
        <x:v>Contributor, author or institution</x:v>
      </x:c>
      <x:c r="F17" s="55" t="str">
        <x:v>Do not collapse multiple creators</x:v>
      </x:c>
    </x:row>
    <x:row r="18" ht="31.5" customHeight="1">
      <x:c r="A18" s="55" t="str">
        <x:v>publication_date</x:v>
      </x:c>
      <x:c r="B18" s="55" t="str">
        <x:v>date/string</x:v>
      </x:c>
      <x:c r="C18" s="55" t="str">
        <x:v>When known</x:v>
      </x:c>
      <x:c r="D18" s="55" t="str">
        <x:v>Rights and historical analysis</x:v>
      </x:c>
      <x:c r="E18" s="55" t="str">
        <x:v>1916 or 2025-11-10</x:v>
      </x:c>
      <x:c r="F18" s="55" t="str">
        <x:v>Precision flag if year-only</x:v>
      </x:c>
    </x:row>
    <x:row r="19" ht="31.5" customHeight="1">
      <x:c r="A19" s="55" t="str">
        <x:v>rights_status</x:v>
      </x:c>
      <x:c r="B19" s="55" t="str">
        <x:v>string</x:v>
      </x:c>
      <x:c r="C19" s="55" t="str">
        <x:v>Yes</x:v>
      </x:c>
      <x:c r="D19" s="55" t="str">
        <x:v>Machine-actionable release gate</x:v>
      </x:c>
      <x:c r="E19" s="55" t="str">
        <x:v>cc_by_4 / pd_verified / permission / quarantine</x:v>
      </x:c>
      <x:c r="F19" s="55" t="str">
        <x:v>Controlled vocabulary</x:v>
      </x:c>
    </x:row>
    <x:row r="20" ht="31.5" customHeight="1">
      <x:c r="A20" s="55" t="str">
        <x:v>license_id</x:v>
      </x:c>
      <x:c r="B20" s="55" t="str">
        <x:v>string</x:v>
      </x:c>
      <x:c r="C20" s="55" t="str">
        <x:v>Yes</x:v>
      </x:c>
      <x:c r="D20" s="55" t="str">
        <x:v>Exact license label</x:v>
      </x:c>
      <x:c r="E20" s="55" t="str">
        <x:v>CC-BY-4.0</x:v>
      </x:c>
      <x:c r="F20" s="55" t="str">
        <x:v>SPDX where possible</x:v>
      </x:c>
    </x:row>
    <x:row r="21" ht="31.5" customHeight="1">
      <x:c r="A21" s="55" t="str">
        <x:v>license_url</x:v>
      </x:c>
      <x:c r="B21" s="55" t="str">
        <x:v>string</x:v>
      </x:c>
      <x:c r="C21" s="55" t="str">
        <x:v>Yes</x:v>
      </x:c>
      <x:c r="D21" s="55" t="str">
        <x:v>License evidence</x:v>
      </x:c>
      <x:c r="E21" s="55" t="str">
        <x:v>Canonical deed/legal URL</x:v>
      </x:c>
      <x:c r="F21" s="55" t="str">
        <x:v>Must match license_id</x:v>
      </x:c>
    </x:row>
    <x:row r="22" ht="31.5" customHeight="1">
      <x:c r="A22" s="55" t="str">
        <x:v>rights_jurisdiction</x:v>
      </x:c>
      <x:c r="B22" s="55" t="str">
        <x:v>string</x:v>
      </x:c>
      <x:c r="C22" s="55" t="str">
        <x:v>For PD/complex</x:v>
      </x:c>
      <x:c r="D22" s="55" t="str">
        <x:v>Jurisdiction scope</x:v>
      </x:c>
      <x:c r="E22" s="55" t="str">
        <x:v>IN; US</x:v>
      </x:c>
      <x:c r="F22" s="55" t="str">
        <x:v>Controlled ISO country codes</x:v>
      </x:c>
    </x:row>
    <x:row r="23" ht="31.5" customHeight="1">
      <x:c r="A23" s="55" t="str">
        <x:v>rights_evidence</x:v>
      </x:c>
      <x:c r="B23" s="55" t="str">
        <x:v>string</x:v>
      </x:c>
      <x:c r="C23" s="55" t="str">
        <x:v>Yes</x:v>
      </x:c>
      <x:c r="D23" s="55" t="str">
        <x:v>Audit trail</x:v>
      </x:c>
      <x:c r="E23" s="55" t="str">
        <x:v>Dataset card statement or dated rights memo</x:v>
      </x:c>
      <x:c r="F23" s="55" t="str">
        <x:v>Quote sparingly; store URL and access date</x:v>
      </x:c>
    </x:row>
    <x:row r="24" ht="31.5" customHeight="1">
      <x:c r="A24" s="55" t="str">
        <x:v>attribution_text</x:v>
      </x:c>
      <x:c r="B24" s="55" t="str">
        <x:v>string</x:v>
      </x:c>
      <x:c r="C24" s="55" t="str">
        <x:v>For attributed sources</x:v>
      </x:c>
      <x:c r="D24" s="55" t="str">
        <x:v>Ready-to-publish credit</x:v>
      </x:c>
      <x:c r="E24" s="55" t="str">
        <x:v>Source, creator, license, changes</x:v>
      </x:c>
      <x:c r="F24" s="55" t="str">
        <x:v>Release-builder check</x:v>
      </x:c>
    </x:row>
    <x:row r="25" ht="31.5" customHeight="1">
      <x:c r="A25" s="55" t="str">
        <x:v>modifications</x:v>
      </x:c>
      <x:c r="B25" s="55" t="str">
        <x:v>string</x:v>
      </x:c>
      <x:c r="C25" s="55" t="str">
        <x:v>Recommended</x:v>
      </x:c>
      <x:c r="D25" s="55" t="str">
        <x:v>License compliance</x:v>
      </x:c>
      <x:c r="E25" s="55" t="str">
        <x:v>OCR corrected; punctuation normalized</x:v>
      </x:c>
      <x:c r="F25" s="55" t="str">
        <x:v>Enumerate material transforms</x:v>
      </x:c>
    </x:row>
    <x:row r="26" ht="31.5" customHeight="1">
      <x:c r="A26" s="55" t="str">
        <x:v>corpus_layer</x:v>
      </x:c>
      <x:c r="B26" s="55" t="str">
        <x:v>string</x:v>
      </x:c>
      <x:c r="C26" s="55" t="str">
        <x:v>Yes</x:v>
      </x:c>
      <x:c r="D26" s="55" t="str">
        <x:v>License-compatible packaging</x:v>
      </x:c>
      <x:c r="E26" s="55" t="str">
        <x:v>core_open / core_pd / extended_sa / quarantine</x:v>
      </x:c>
      <x:c r="F26" s="55" t="str">
        <x:v>Controlled vocabulary</x:v>
      </x:c>
    </x:row>
    <x:row r="27" ht="31.5" customHeight="1">
      <x:c r="A27" s="55" t="str">
        <x:v>dialect</x:v>
      </x:c>
      <x:c r="B27" s="55" t="str">
        <x:v>string</x:v>
      </x:c>
      <x:c r="C27" s="55" t="str">
        <x:v>Recommended</x:v>
      </x:c>
      <x:c r="D27" s="55" t="str">
        <x:v>Dialect-aware modeling</x:v>
      </x:c>
      <x:c r="E27" s="55" t="str">
        <x:v>Tehri Garhwali</x:v>
      </x:c>
      <x:c r="F27" s="55" t="str">
        <x:v>Use source label plus normalized label</x:v>
      </x:c>
    </x:row>
    <x:row r="28" ht="31.5" customHeight="1">
      <x:c r="A28" s="55" t="str">
        <x:v>location</x:v>
      </x:c>
      <x:c r="B28" s="55" t="str">
        <x:v>string</x:v>
      </x:c>
      <x:c r="C28" s="55" t="str">
        <x:v>When available</x:v>
      </x:c>
      <x:c r="D28" s="55" t="str">
        <x:v>Geographic coverage</x:v>
      </x:c>
      <x:c r="E28" s="55" t="str">
        <x:v>Uttarkashi district</x:v>
      </x:c>
      <x:c r="F28" s="55" t="str">
        <x:v>Use stable gazetteer identifiers when possible</x:v>
      </x:c>
    </x:row>
    <x:row r="29" ht="31.5" customHeight="1">
      <x:c r="A29" s="55" t="str">
        <x:v>genre</x:v>
      </x:c>
      <x:c r="B29" s="55" t="str">
        <x:v>string</x:v>
      </x:c>
      <x:c r="C29" s="55" t="str">
        <x:v>Yes</x:v>
      </x:c>
      <x:c r="D29" s="55" t="str">
        <x:v>Balance and evaluation</x:v>
      </x:c>
      <x:c r="E29" s="55" t="str">
        <x:v>conversation / proverb / encyclopedia / poetry</x:v>
      </x:c>
      <x:c r="F29" s="55" t="str">
        <x:v>Controlled vocabulary</x:v>
      </x:c>
    </x:row>
    <x:row r="30" ht="31.5" customHeight="1">
      <x:c r="A30" s="55" t="str">
        <x:v>modality</x:v>
      </x:c>
      <x:c r="B30" s="55" t="str">
        <x:v>string</x:v>
      </x:c>
      <x:c r="C30" s="55" t="str">
        <x:v>Yes</x:v>
      </x:c>
      <x:c r="D30" s="55" t="str">
        <x:v>Text/audio handling</x:v>
      </x:c>
      <x:c r="E30" s="55" t="str">
        <x:v>text / speech / aligned</x:v>
      </x:c>
      <x:c r="F30" s="55" t="str">
        <x:v>Controlled vocabulary</x:v>
      </x:c>
    </x:row>
    <x:row r="31" ht="31.5" customHeight="1">
      <x:c r="A31" s="55" t="str">
        <x:v>audio_id</x:v>
      </x:c>
      <x:c r="B31" s="55" t="str">
        <x:v>string</x:v>
      </x:c>
      <x:c r="C31" s="55" t="str">
        <x:v>For speech</x:v>
      </x:c>
      <x:c r="D31" s="55" t="str">
        <x:v>Audio-text join</x:v>
      </x:c>
      <x:c r="E31" s="55" t="str">
        <x:v>gbm_meta_spk02_s01</x:v>
      </x:c>
      <x:c r="F31" s="55" t="str">
        <x:v>Unique within source</x:v>
      </x:c>
    </x:row>
    <x:row r="32" ht="31.5" customHeight="1">
      <x:c r="A32" s="55" t="str">
        <x:v>speaker_id</x:v>
      </x:c>
      <x:c r="B32" s="55" t="str">
        <x:v>string</x:v>
      </x:c>
      <x:c r="C32" s="55" t="str">
        <x:v>For speech</x:v>
      </x:c>
      <x:c r="D32" s="55" t="str">
        <x:v>Speaker-disjoint splits</x:v>
      </x:c>
      <x:c r="E32" s="55" t="str">
        <x:v>Hashed source speaker ID</x:v>
      </x:c>
      <x:c r="F32" s="55" t="str">
        <x:v>No direct personal identifiers</x:v>
      </x:c>
    </x:row>
    <x:row r="33" ht="31.5" customHeight="1">
      <x:c r="A33" s="55" t="str">
        <x:v>speaker_consent_basis</x:v>
      </x:c>
      <x:c r="B33" s="55" t="str">
        <x:v>string</x:v>
      </x:c>
      <x:c r="C33" s="55" t="str">
        <x:v>For collected speech</x:v>
      </x:c>
      <x:c r="D33" s="55" t="str">
        <x:v>Ethics and reuse audit</x:v>
      </x:c>
      <x:c r="E33" s="55" t="str">
        <x:v>Dataset consent protocol ID</x:v>
      </x:c>
      <x:c r="F33" s="55" t="str">
        <x:v>Required before public release</x:v>
      </x:c>
    </x:row>
    <x:row r="34" ht="31.5" customHeight="1">
      <x:c r="A34" s="55" t="str">
        <x:v>quality_status</x:v>
      </x:c>
      <x:c r="B34" s="55" t="str">
        <x:v>string</x:v>
      </x:c>
      <x:c r="C34" s="55" t="str">
        <x:v>Yes</x:v>
      </x:c>
      <x:c r="D34" s="55" t="str">
        <x:v>Curation gate</x:v>
      </x:c>
      <x:c r="E34" s="55" t="str">
        <x:v>raw / auto_checked / native_reviewed / rejected</x:v>
      </x:c>
      <x:c r="F34" s="55" t="str">
        <x:v>Controlled vocabulary</x:v>
      </x:c>
    </x:row>
    <x:row r="35" ht="31.5" customHeight="1">
      <x:c r="A35" s="55" t="str">
        <x:v>native_reviewed</x:v>
      </x:c>
      <x:c r="B35" s="55" t="str">
        <x:v>boolean</x:v>
      </x:c>
      <x:c r="C35" s="55" t="str">
        <x:v>Recommended</x:v>
      </x:c>
      <x:c r="D35" s="55" t="str">
        <x:v>Human-language validation</x:v>
      </x:c>
      <x:c r="E35" s="55" t="str">
        <x:v>TRUE</x:v>
      </x:c>
      <x:c r="F35" s="55" t="str">
        <x:v>Reviewer log required when true</x:v>
      </x:c>
    </x:row>
    <x:row r="36" ht="31.5" customHeight="1">
      <x:c r="A36" s="55" t="str">
        <x:v>historical</x:v>
      </x:c>
      <x:c r="B36" s="55" t="str">
        <x:v>boolean</x:v>
      </x:c>
      <x:c r="C36" s="55" t="str">
        <x:v>Yes</x:v>
      </x:c>
      <x:c r="D36" s="55" t="str">
        <x:v>Separate historical and modern text</x:v>
      </x:c>
      <x:c r="E36" s="55" t="str">
        <x:v>TRUE for LSI</x:v>
      </x:c>
      <x:c r="F36" s="55" t="str">
        <x:v>Boolean</x:v>
      </x:c>
    </x:row>
    <x:row r="37" ht="31.5" customHeight="1">
      <x:c r="A37" s="55" t="str">
        <x:v>sensitive_content</x:v>
      </x:c>
      <x:c r="B37" s="55" t="str">
        <x:v>string</x:v>
      </x:c>
      <x:c r="C37" s="55" t="str">
        <x:v>Recommended</x:v>
      </x:c>
      <x:c r="D37" s="55" t="str">
        <x:v>Safety and community review</x:v>
      </x:c>
      <x:c r="E37" s="55" t="str">
        <x:v>none / personal / sacred / restricted</x:v>
      </x:c>
      <x:c r="F37" s="55" t="str">
        <x:v>Controlled vocabulary; escalate non-none</x:v>
      </x:c>
    </x:row>
    <x:row r="38" ht="31.5" customHeight="1">
      <x:c r="A38" s="55" t="str">
        <x:v>duplicate_group</x:v>
      </x:c>
      <x:c r="B38" s="55" t="str">
        <x:v>string</x:v>
      </x:c>
      <x:c r="C38" s="55" t="str">
        <x:v>Recommended</x:v>
      </x:c>
      <x:c r="D38" s="55" t="str">
        <x:v>Cross-source deduplication</x:v>
      </x:c>
      <x:c r="E38" s="55" t="str">
        <x:v>dup_000042</x:v>
      </x:c>
      <x:c r="F38" s="55" t="str">
        <x:v>Same value for exact/near duplicates</x:v>
      </x:c>
    </x:row>
    <x:row r="39" ht="31.5" customHeight="1">
      <x:c r="A39" s="55" t="str">
        <x:v>split</x:v>
      </x:c>
      <x:c r="B39" s="55" t="str">
        <x:v>string</x:v>
      </x:c>
      <x:c r="C39" s="55" t="str">
        <x:v>For model-ready release</x:v>
      </x:c>
      <x:c r="D39" s="55" t="str">
        <x:v>Leakage control</x:v>
      </x:c>
      <x:c r="E39" s="55" t="str">
        <x:v>train / validation / test</x:v>
      </x:c>
      <x:c r="F39" s="55" t="str">
        <x:v>Speaker/document disjoint as applicable</x:v>
      </x:c>
    </x:row>
    <x:row r="40" ht="31.5" customHeight="1">
      <x:c r="A40" s="55" t="str">
        <x:v>checksum_sha256</x:v>
      </x:c>
      <x:c r="B40" s="55" t="str">
        <x:v>string</x:v>
      </x:c>
      <x:c r="C40" s="55" t="str">
        <x:v>Yes</x:v>
      </x:c>
      <x:c r="D40" s="55" t="str">
        <x:v>Integrity and reproducibility</x:v>
      </x:c>
      <x:c r="E40" s="55" t="str">
        <x:v>64-hex digest</x:v>
      </x:c>
      <x:c r="F40" s="55" t="str">
        <x:v>Recompute after material change</x:v>
      </x:c>
    </x:row>
  </x:sheetData>
  <x:pageMargins left="0.7" right="0.7" top="0.75" bottom="0.75" header="0.3" footer="0.3"/>
  <x:tableParts count="1">
    <x:tablePart xmlns:r="http://schemas.openxmlformats.org/officeDocument/2006/relationships" r:id="R4762407c7d9c4a89"/>
  </x:tableParts>
</x:worksheet>
</file>